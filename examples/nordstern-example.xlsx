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cj/Documents/nordstern/examples/"/>
    </mc:Choice>
  </mc:AlternateContent>
  <xr:revisionPtr revIDLastSave="0" documentId="13_ncr:1_{728567AE-AB40-2543-9866-240AD873F2FE}" xr6:coauthVersionLast="47" xr6:coauthVersionMax="47" xr10:uidLastSave="{00000000-0000-0000-0000-000000000000}"/>
  <bookViews>
    <workbookView xWindow="3760" yWindow="-26760" windowWidth="34780" windowHeight="23340" activeTab="1" xr2:uid="{00000000-000D-0000-FFFF-FFFF00000000}"/>
  </bookViews>
  <sheets>
    <sheet name="Read me" sheetId="1" r:id="rId1"/>
    <sheet name="Data In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2" l="1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B42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B40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B34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B32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B27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B22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B14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B8" i="2"/>
</calcChain>
</file>

<file path=xl/sharedStrings.xml><?xml version="1.0" encoding="utf-8"?>
<sst xmlns="http://schemas.openxmlformats.org/spreadsheetml/2006/main" count="46" uniqueCount="46">
  <si>
    <t>NORDSTERN — example workbook</t>
  </si>
  <si>
    <t>Everything in this file is invented. No real person, no real portfolio.</t>
  </si>
  <si>
    <t>Seven years of a household that bought a flat on day one and financed</t>
  </si>
  <si>
    <t>all of it, so the numbers show a large asset and a large debt side by side.</t>
  </si>
  <si>
    <t>nordstern reads one sheet and nothing else:</t>
  </si>
  <si>
    <t xml:space="preserve">  "Data Input"</t>
  </si>
  <si>
    <t>one column per month, one row per account</t>
  </si>
  <si>
    <t>This second sheet is here to prove the point: it is never read.</t>
  </si>
  <si>
    <t>Add as many of your own as you like.</t>
  </si>
  <si>
    <t>Rows are found by their label in column A, never by row number.</t>
  </si>
  <si>
    <t>Insert accounts wherever you want — the section heads and the total</t>
  </si>
  <si>
    <t>rows are the anchors. See docs/DATA_CONTRACT.md for the full contract.</t>
  </si>
  <si>
    <t>Month</t>
  </si>
  <si>
    <t>Liquid</t>
  </si>
  <si>
    <t>Checking account</t>
  </si>
  <si>
    <t>Savings account</t>
  </si>
  <si>
    <t>Instant access savings</t>
  </si>
  <si>
    <t>Cash</t>
  </si>
  <si>
    <t>Total liquid</t>
  </si>
  <si>
    <t>Claims</t>
  </si>
  <si>
    <t>Maintenance reserve (owners’ association)</t>
  </si>
  <si>
    <t>Service charge settlement</t>
  </si>
  <si>
    <t>Tax refund due</t>
  </si>
  <si>
    <t>Total claims</t>
  </si>
  <si>
    <t>Investments</t>
  </si>
  <si>
    <t>World ETF</t>
  </si>
  <si>
    <t>S&amp;P 500 ETF</t>
  </si>
  <si>
    <t>Nasdaq 100 ETF</t>
  </si>
  <si>
    <t>Emerging markets ETF</t>
  </si>
  <si>
    <t>Bond ETF</t>
  </si>
  <si>
    <t>Total investments</t>
  </si>
  <si>
    <t>Property</t>
  </si>
  <si>
    <t>Apartment</t>
  </si>
  <si>
    <t>Car</t>
  </si>
  <si>
    <t>Total property</t>
  </si>
  <si>
    <t>Retirement</t>
  </si>
  <si>
    <t>Company pension</t>
  </si>
  <si>
    <t>Private pension</t>
  </si>
  <si>
    <t>Total retirement</t>
  </si>
  <si>
    <t>Total assets</t>
  </si>
  <si>
    <t>Liabilities</t>
  </si>
  <si>
    <t>Mortgage</t>
  </si>
  <si>
    <t>Securities loan</t>
  </si>
  <si>
    <t>Credit card</t>
  </si>
  <si>
    <t>Total liabilities</t>
  </si>
  <si>
    <t>Total net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</si>
</sst>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0" fontId="1" fillId="2" borderId="1" xfId="0" applyFont="1" applyFill="1" applyBorder="1"/>
    <xf numFmtId="0" fontId="1" fillId="4" borderId="0" xfId="0" applyFont="1" applyFill="1"/>
    <xf numFmtId="4" fontId="1" fillId="4" borderId="0" xfId="0" applyNumberFormat="1" applyFont="1" applyFill="1"/>
    <xf numFmtId="0" fontId="0" fillId="4" borderId="0" xfId="0" applyFill="1"/>
    <xf numFmtId="0" fontId="0" fillId="2" borderId="0" xfId="0" applyFill="1"/>
    <xf numFmtId="0" fontId="1" fillId="6" borderId="0" xfId="0" applyFont="1" applyFill="1"/>
    <xf numFmtId="4" fontId="1" fillId="6" borderId="0" xfId="0" applyNumberFormat="1" applyFont="1" applyFill="1"/>
    <xf numFmtId="0" fontId="0" fillId="6" borderId="0" xfId="0" applyFill="1"/>
    <xf numFmtId="0" fontId="1" fillId="3" borderId="0" xfId="0" applyFont="1" applyFill="1"/>
    <xf numFmtId="4" fontId="1" fillId="3" borderId="0" xfId="0" applyNumberFormat="1" applyFont="1" applyFill="1"/>
    <xf numFmtId="0" fontId="0" fillId="3" borderId="0" xfId="0" applyFill="1"/>
    <xf numFmtId="0" fontId="1" fillId="8" borderId="0" xfId="0" applyFont="1" applyFill="1"/>
    <xf numFmtId="0" fontId="0" fillId="8" borderId="0" xfId="0" applyFill="1"/>
    <xf numFmtId="4" fontId="1" fillId="8" borderId="0" xfId="0" applyNumberFormat="1" applyFont="1" applyFill="1"/>
    <xf numFmtId="165" fontId="1" fillId="2" borderId="1" xfId="0" applyNumberFormat="1" applyFont="1" applyFill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0" fontId="1" fillId="5" borderId="1" xfId="0" applyFont="1" applyFill="1" applyBorder="1"/>
    <xf numFmtId="4" fontId="1" fillId="5" borderId="1" xfId="0" applyNumberFormat="1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baseColWidth="10" defaultRowHeight="16" x14ac:dyDescent="0.2"/>
  <cols>
    <col min="1" max="1" width="22.83203125" customWidth="1"/>
    <col min="2" max="2" width="58.83203125" customWidth="1"/>
  </cols>
  <sheetData>
    <row r="1" spans="1:2" x14ac:dyDescent="0.2">
      <c r="A1" t="s">
        <v>0</v>
      </c>
    </row>
    <row r="3" spans="1:2" x14ac:dyDescent="0.2">
      <c r="A3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7" spans="1:2" x14ac:dyDescent="0.2">
      <c r="A7" t="s">
        <v>4</v>
      </c>
    </row>
    <row r="8" spans="1:2" x14ac:dyDescent="0.2">
      <c r="A8" t="s">
        <v>5</v>
      </c>
      <c r="B8" t="s">
        <v>6</v>
      </c>
    </row>
    <row r="11" spans="1:2" x14ac:dyDescent="0.2">
      <c r="A11" t="s">
        <v>7</v>
      </c>
    </row>
    <row r="12" spans="1:2" x14ac:dyDescent="0.2">
      <c r="A12" t="s">
        <v>8</v>
      </c>
    </row>
    <row r="14" spans="1:2" x14ac:dyDescent="0.2">
      <c r="A14" t="s">
        <v>9</v>
      </c>
    </row>
    <row r="15" spans="1:2" x14ac:dyDescent="0.2">
      <c r="A15" t="s">
        <v>10</v>
      </c>
    </row>
    <row r="16" spans="1:2" x14ac:dyDescent="0.2">
      <c r="A16" t="s">
        <v>11</v>
      </c>
    </row>
  </sheetData>
  <pageMargins left="0.7" right="0.7" top="0.75" bottom="0.75" header="0.3" footer="0.3"/>
  <ignoredErrors>
    <ignoredError sqref="A1:B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G42"/>
  <sheetViews>
    <sheetView showGridLines="0" tabSelected="1" workbookViewId="0">
      <pane xSplit="1" topLeftCell="B1" activePane="topRight" state="frozen"/>
      <selection pane="topRight" activeCell="A36" sqref="A36"/>
    </sheetView>
  </sheetViews>
  <sheetFormatPr baseColWidth="10" defaultRowHeight="16" x14ac:dyDescent="0.2"/>
  <cols>
    <col min="1" max="1" width="34.83203125" customWidth="1"/>
    <col min="2" max="85" width="12.83203125" customWidth="1"/>
  </cols>
  <sheetData>
    <row r="1" spans="1:85" s="4" customFormat="1" x14ac:dyDescent="0.2">
      <c r="A1" s="4" t="s">
        <v>12</v>
      </c>
      <c r="B1" s="18">
        <v>43738</v>
      </c>
      <c r="C1" s="18">
        <v>43769</v>
      </c>
      <c r="D1" s="18">
        <v>43799</v>
      </c>
      <c r="E1" s="18">
        <v>43830</v>
      </c>
      <c r="F1" s="18">
        <v>43861</v>
      </c>
      <c r="G1" s="18">
        <v>43890</v>
      </c>
      <c r="H1" s="18">
        <v>43921</v>
      </c>
      <c r="I1" s="18">
        <v>43951</v>
      </c>
      <c r="J1" s="18">
        <v>43982</v>
      </c>
      <c r="K1" s="18">
        <v>44012</v>
      </c>
      <c r="L1" s="18">
        <v>44043</v>
      </c>
      <c r="M1" s="18">
        <v>44074</v>
      </c>
      <c r="N1" s="18">
        <v>44104</v>
      </c>
      <c r="O1" s="18">
        <v>44135</v>
      </c>
      <c r="P1" s="18">
        <v>44165</v>
      </c>
      <c r="Q1" s="18">
        <v>44196</v>
      </c>
      <c r="R1" s="18">
        <v>44227</v>
      </c>
      <c r="S1" s="18">
        <v>44255</v>
      </c>
      <c r="T1" s="18">
        <v>44286</v>
      </c>
      <c r="U1" s="18">
        <v>44316</v>
      </c>
      <c r="V1" s="18">
        <v>44347</v>
      </c>
      <c r="W1" s="18">
        <v>44377</v>
      </c>
      <c r="X1" s="18">
        <v>44408</v>
      </c>
      <c r="Y1" s="18">
        <v>44439</v>
      </c>
      <c r="Z1" s="18">
        <v>44469</v>
      </c>
      <c r="AA1" s="18">
        <v>44500</v>
      </c>
      <c r="AB1" s="18">
        <v>44530</v>
      </c>
      <c r="AC1" s="18">
        <v>44561</v>
      </c>
      <c r="AD1" s="18">
        <v>44592</v>
      </c>
      <c r="AE1" s="18">
        <v>44620</v>
      </c>
      <c r="AF1" s="18">
        <v>44651</v>
      </c>
      <c r="AG1" s="18">
        <v>44681</v>
      </c>
      <c r="AH1" s="18">
        <v>44712</v>
      </c>
      <c r="AI1" s="18">
        <v>44742</v>
      </c>
      <c r="AJ1" s="18">
        <v>44773</v>
      </c>
      <c r="AK1" s="18">
        <v>44804</v>
      </c>
      <c r="AL1" s="18">
        <v>44834</v>
      </c>
      <c r="AM1" s="18">
        <v>44865</v>
      </c>
      <c r="AN1" s="18">
        <v>44895</v>
      </c>
      <c r="AO1" s="18">
        <v>44926</v>
      </c>
      <c r="AP1" s="18">
        <v>44957</v>
      </c>
      <c r="AQ1" s="18">
        <v>44985</v>
      </c>
      <c r="AR1" s="18">
        <v>45016</v>
      </c>
      <c r="AS1" s="18">
        <v>45046</v>
      </c>
      <c r="AT1" s="18">
        <v>45077</v>
      </c>
      <c r="AU1" s="18">
        <v>45107</v>
      </c>
      <c r="AV1" s="18">
        <v>45138</v>
      </c>
      <c r="AW1" s="18">
        <v>45169</v>
      </c>
      <c r="AX1" s="18">
        <v>45199</v>
      </c>
      <c r="AY1" s="18">
        <v>45230</v>
      </c>
      <c r="AZ1" s="18">
        <v>45260</v>
      </c>
      <c r="BA1" s="18">
        <v>45291</v>
      </c>
      <c r="BB1" s="18">
        <v>45322</v>
      </c>
      <c r="BC1" s="18">
        <v>45351</v>
      </c>
      <c r="BD1" s="18">
        <v>45382</v>
      </c>
      <c r="BE1" s="18">
        <v>45412</v>
      </c>
      <c r="BF1" s="18">
        <v>45443</v>
      </c>
      <c r="BG1" s="18">
        <v>45473</v>
      </c>
      <c r="BH1" s="18">
        <v>45504</v>
      </c>
      <c r="BI1" s="18">
        <v>45535</v>
      </c>
      <c r="BJ1" s="18">
        <v>45565</v>
      </c>
      <c r="BK1" s="18">
        <v>45596</v>
      </c>
      <c r="BL1" s="18">
        <v>45626</v>
      </c>
      <c r="BM1" s="18">
        <v>45657</v>
      </c>
      <c r="BN1" s="18">
        <v>45688</v>
      </c>
      <c r="BO1" s="18">
        <v>45716</v>
      </c>
      <c r="BP1" s="18">
        <v>45747</v>
      </c>
      <c r="BQ1" s="18">
        <v>45777</v>
      </c>
      <c r="BR1" s="18">
        <v>45808</v>
      </c>
      <c r="BS1" s="18">
        <v>45838</v>
      </c>
      <c r="BT1" s="18">
        <v>45869</v>
      </c>
      <c r="BU1" s="18">
        <v>45900</v>
      </c>
      <c r="BV1" s="18">
        <v>45930</v>
      </c>
      <c r="BW1" s="18">
        <v>45961</v>
      </c>
      <c r="BX1" s="18">
        <v>45991</v>
      </c>
      <c r="BY1" s="18">
        <v>46022</v>
      </c>
      <c r="BZ1" s="18">
        <v>46053</v>
      </c>
      <c r="CA1" s="18">
        <v>46081</v>
      </c>
      <c r="CB1" s="18">
        <v>46112</v>
      </c>
      <c r="CC1" s="18">
        <v>46142</v>
      </c>
      <c r="CD1" s="18">
        <v>46173</v>
      </c>
      <c r="CE1" s="18">
        <v>46203</v>
      </c>
      <c r="CF1" s="18">
        <v>46234</v>
      </c>
      <c r="CG1" s="18">
        <v>46265</v>
      </c>
    </row>
    <row r="3" spans="1:85" s="16" customFormat="1" x14ac:dyDescent="0.2">
      <c r="A3" s="15" t="s">
        <v>13</v>
      </c>
    </row>
    <row r="4" spans="1:85" x14ac:dyDescent="0.2">
      <c r="A4" t="s">
        <v>14</v>
      </c>
      <c r="B4" s="1">
        <v>4682.37</v>
      </c>
      <c r="C4" s="1">
        <v>5815.41</v>
      </c>
      <c r="D4" s="1">
        <v>5741.43</v>
      </c>
      <c r="E4" s="1">
        <v>5744.76</v>
      </c>
      <c r="F4" s="1">
        <v>6026.99</v>
      </c>
      <c r="G4" s="1">
        <v>5167.74</v>
      </c>
      <c r="H4" s="1">
        <v>5721.25</v>
      </c>
      <c r="I4" s="1">
        <v>4871.96</v>
      </c>
      <c r="J4" s="1">
        <v>4899.5200000000004</v>
      </c>
      <c r="K4" s="1">
        <v>5195.51</v>
      </c>
      <c r="L4" s="1">
        <v>4791.4799999999996</v>
      </c>
      <c r="M4" s="1">
        <v>4427.29</v>
      </c>
      <c r="N4" s="1">
        <v>4631.47</v>
      </c>
      <c r="O4" s="1">
        <v>4604.03</v>
      </c>
      <c r="P4" s="1">
        <v>3930.48</v>
      </c>
      <c r="Q4" s="1">
        <v>4556.13</v>
      </c>
      <c r="R4" s="1">
        <v>5397.44</v>
      </c>
      <c r="S4" s="1">
        <v>4618.43</v>
      </c>
      <c r="T4" s="1">
        <v>5680.54</v>
      </c>
      <c r="U4" s="1">
        <v>4739.68</v>
      </c>
      <c r="V4" s="1">
        <v>5292.14</v>
      </c>
      <c r="W4" s="1">
        <v>4735.2</v>
      </c>
      <c r="X4" s="1">
        <v>5118.3</v>
      </c>
      <c r="Y4" s="1">
        <v>6195.37</v>
      </c>
      <c r="Z4" s="1">
        <v>5366.18</v>
      </c>
      <c r="AA4" s="1">
        <v>5072.7299999999996</v>
      </c>
      <c r="AB4" s="1">
        <v>5717.87</v>
      </c>
      <c r="AC4" s="1">
        <v>5602.4</v>
      </c>
      <c r="AD4" s="1">
        <v>4868.09</v>
      </c>
      <c r="AE4" s="1">
        <v>4981.01</v>
      </c>
      <c r="AF4" s="1">
        <v>4487.5200000000004</v>
      </c>
      <c r="AG4" s="1">
        <v>5055.1400000000003</v>
      </c>
      <c r="AH4" s="1">
        <v>5221.97</v>
      </c>
      <c r="AI4" s="1">
        <v>4210.22</v>
      </c>
      <c r="AJ4" s="1">
        <v>4535.12</v>
      </c>
      <c r="AK4" s="1">
        <v>4346.8100000000004</v>
      </c>
      <c r="AL4" s="1">
        <v>5315.43</v>
      </c>
      <c r="AM4" s="1">
        <v>4433.79</v>
      </c>
      <c r="AN4" s="1">
        <v>4561.46</v>
      </c>
      <c r="AO4" s="1">
        <v>5574.95</v>
      </c>
      <c r="AP4" s="1">
        <v>5737.2</v>
      </c>
      <c r="AQ4" s="1">
        <v>5790.14</v>
      </c>
      <c r="AR4" s="1">
        <v>4740.68</v>
      </c>
      <c r="AS4" s="1">
        <v>5076.43</v>
      </c>
      <c r="AT4" s="1">
        <v>4803.62</v>
      </c>
      <c r="AU4" s="1">
        <v>5356.04</v>
      </c>
      <c r="AV4" s="1">
        <v>5808.67</v>
      </c>
      <c r="AW4" s="1">
        <v>4439.2299999999996</v>
      </c>
      <c r="AX4" s="1">
        <v>5522.85</v>
      </c>
      <c r="AY4" s="1">
        <v>4686.2299999999996</v>
      </c>
      <c r="AZ4" s="1">
        <v>4689.96</v>
      </c>
      <c r="BA4" s="1">
        <v>4690</v>
      </c>
      <c r="BB4" s="1">
        <v>4140.0200000000004</v>
      </c>
      <c r="BC4" s="1">
        <v>5154.7700000000004</v>
      </c>
      <c r="BD4" s="1">
        <v>5368.33</v>
      </c>
      <c r="BE4" s="1">
        <v>4330.32</v>
      </c>
      <c r="BF4" s="1">
        <v>4932.2700000000004</v>
      </c>
      <c r="BG4" s="1">
        <v>4770.88</v>
      </c>
      <c r="BH4" s="1">
        <v>5378.74</v>
      </c>
      <c r="BI4" s="1">
        <v>5800.7</v>
      </c>
      <c r="BJ4" s="1">
        <v>5427.19</v>
      </c>
      <c r="BK4" s="1">
        <v>5253.63</v>
      </c>
      <c r="BL4" s="1">
        <v>6005.27</v>
      </c>
      <c r="BM4" s="1">
        <v>6082.97</v>
      </c>
      <c r="BN4" s="1">
        <v>5673.99</v>
      </c>
      <c r="BO4" s="1">
        <v>4737.09</v>
      </c>
      <c r="BP4" s="1">
        <v>4624.57</v>
      </c>
      <c r="BQ4" s="1">
        <v>4775.0200000000004</v>
      </c>
      <c r="BR4" s="1">
        <v>5162.33</v>
      </c>
      <c r="BS4" s="1">
        <v>4859.01</v>
      </c>
      <c r="BT4" s="1">
        <v>4001.54</v>
      </c>
      <c r="BU4" s="1">
        <v>4185.91</v>
      </c>
      <c r="BV4" s="1">
        <v>4403.8999999999996</v>
      </c>
      <c r="BW4" s="1">
        <v>4549.8999999999996</v>
      </c>
      <c r="BX4" s="1">
        <v>4903.8999999999996</v>
      </c>
      <c r="BY4" s="1">
        <v>4400.91</v>
      </c>
      <c r="BZ4" s="1">
        <v>4580</v>
      </c>
      <c r="CA4" s="1">
        <v>5905.39</v>
      </c>
      <c r="CB4" s="1">
        <v>5003.0600000000004</v>
      </c>
      <c r="CC4" s="1">
        <v>5955.6</v>
      </c>
      <c r="CD4" s="1">
        <v>5706.84</v>
      </c>
      <c r="CE4" s="1">
        <v>5046.6099999999997</v>
      </c>
      <c r="CF4" s="1">
        <v>4892.3</v>
      </c>
      <c r="CG4" s="1">
        <v>5554.43</v>
      </c>
    </row>
    <row r="5" spans="1:85" x14ac:dyDescent="0.2">
      <c r="A5" t="s">
        <v>15</v>
      </c>
      <c r="B5" s="1">
        <v>4703.2</v>
      </c>
      <c r="C5" s="1">
        <v>4788.51</v>
      </c>
      <c r="D5" s="1">
        <v>4859.1499999999996</v>
      </c>
      <c r="E5" s="1">
        <v>5033.82</v>
      </c>
      <c r="F5" s="1">
        <v>5044.8599999999997</v>
      </c>
      <c r="G5" s="1">
        <v>5305.16</v>
      </c>
      <c r="H5" s="1">
        <v>5284.71</v>
      </c>
      <c r="I5" s="1">
        <v>5502.88</v>
      </c>
      <c r="J5" s="1">
        <v>5481.46</v>
      </c>
      <c r="K5" s="1">
        <v>5790.96</v>
      </c>
      <c r="L5" s="1">
        <v>5940.27</v>
      </c>
      <c r="M5" s="1">
        <v>6127.69</v>
      </c>
      <c r="N5" s="1">
        <v>6084.71</v>
      </c>
      <c r="O5" s="1">
        <v>6109.74</v>
      </c>
      <c r="P5" s="1">
        <v>6506.49</v>
      </c>
      <c r="Q5" s="1">
        <v>6562.8</v>
      </c>
      <c r="R5" s="1">
        <v>6592.45</v>
      </c>
      <c r="S5" s="1">
        <v>6689.43</v>
      </c>
      <c r="T5" s="1">
        <v>6753.83</v>
      </c>
      <c r="U5" s="1">
        <v>6985.38</v>
      </c>
      <c r="V5" s="1">
        <v>7173.35</v>
      </c>
      <c r="W5" s="1">
        <v>7430.13</v>
      </c>
      <c r="X5" s="1">
        <v>7508.96</v>
      </c>
      <c r="Y5" s="1">
        <v>7519.51</v>
      </c>
      <c r="Z5" s="1">
        <v>7804.01</v>
      </c>
      <c r="AA5" s="1">
        <v>7696.27</v>
      </c>
      <c r="AB5" s="1">
        <v>7937.56</v>
      </c>
      <c r="AC5" s="1">
        <v>8024.95</v>
      </c>
      <c r="AD5" s="1">
        <v>8250.94</v>
      </c>
      <c r="AE5" s="1">
        <v>8371.66</v>
      </c>
      <c r="AF5" s="1">
        <v>8428.36</v>
      </c>
      <c r="AG5" s="1">
        <v>8504.61</v>
      </c>
      <c r="AH5" s="1">
        <v>8535.9</v>
      </c>
      <c r="AI5" s="1">
        <v>8700.23</v>
      </c>
      <c r="AJ5" s="1">
        <v>8968.58</v>
      </c>
      <c r="AK5" s="1">
        <v>9118.41</v>
      </c>
      <c r="AL5" s="1">
        <v>9197.35</v>
      </c>
      <c r="AM5" s="1">
        <v>9519.4</v>
      </c>
      <c r="AN5" s="1">
        <v>9435.26</v>
      </c>
      <c r="AO5" s="1">
        <v>9607.68</v>
      </c>
      <c r="AP5" s="1">
        <v>9894.5300000000007</v>
      </c>
      <c r="AQ5" s="1">
        <v>9783.8799999999992</v>
      </c>
      <c r="AR5" s="1">
        <v>9955.11</v>
      </c>
      <c r="AS5" s="1">
        <v>9931.14</v>
      </c>
      <c r="AT5" s="1">
        <v>10286.86</v>
      </c>
      <c r="AU5" s="1">
        <v>10433.620000000001</v>
      </c>
      <c r="AV5" s="1">
        <v>10543.68</v>
      </c>
      <c r="AW5" s="1">
        <v>10363.36</v>
      </c>
      <c r="AX5" s="1">
        <v>10953.08</v>
      </c>
      <c r="AY5" s="1">
        <v>10923.29</v>
      </c>
      <c r="AZ5" s="1">
        <v>10936.71</v>
      </c>
      <c r="BA5" s="1">
        <v>11279.57</v>
      </c>
      <c r="BB5" s="1">
        <v>11166.87</v>
      </c>
      <c r="BC5" s="1">
        <v>11224.57</v>
      </c>
      <c r="BD5" s="1">
        <v>11404.73</v>
      </c>
      <c r="BE5" s="1">
        <v>11893.43</v>
      </c>
      <c r="BF5" s="1">
        <v>11626.71</v>
      </c>
      <c r="BG5" s="1">
        <v>11599.51</v>
      </c>
      <c r="BH5" s="1">
        <v>11752.59</v>
      </c>
      <c r="BI5" s="1">
        <v>12376.12</v>
      </c>
      <c r="BJ5" s="1">
        <v>12379.05</v>
      </c>
      <c r="BK5" s="1">
        <v>12396.35</v>
      </c>
      <c r="BL5" s="1">
        <v>12582.19</v>
      </c>
      <c r="BM5" s="1">
        <v>12428.41</v>
      </c>
      <c r="BN5" s="1">
        <v>12469.75</v>
      </c>
      <c r="BO5" s="1">
        <v>12765.37</v>
      </c>
      <c r="BP5" s="1">
        <v>12953</v>
      </c>
      <c r="BQ5" s="1">
        <v>13364.33</v>
      </c>
      <c r="BR5" s="1">
        <v>13316.79</v>
      </c>
      <c r="BS5" s="1">
        <v>13556.86</v>
      </c>
      <c r="BT5" s="1">
        <v>13354.9</v>
      </c>
      <c r="BU5" s="1">
        <v>13799.77</v>
      </c>
      <c r="BV5" s="1">
        <v>13810.48</v>
      </c>
      <c r="BW5" s="1">
        <v>13687.75</v>
      </c>
      <c r="BX5" s="1">
        <v>14359.88</v>
      </c>
      <c r="BY5" s="1">
        <v>14119.45</v>
      </c>
      <c r="BZ5" s="1">
        <v>14441.72</v>
      </c>
      <c r="CA5" s="1">
        <v>14668.77</v>
      </c>
      <c r="CB5" s="1">
        <v>14299.51</v>
      </c>
      <c r="CC5" s="1">
        <v>14534.81</v>
      </c>
      <c r="CD5" s="1">
        <v>14720.02</v>
      </c>
      <c r="CE5" s="1">
        <v>14788.44</v>
      </c>
      <c r="CF5" s="1">
        <v>15434.94</v>
      </c>
      <c r="CG5" s="1">
        <v>15533.54</v>
      </c>
    </row>
    <row r="6" spans="1:85" x14ac:dyDescent="0.2">
      <c r="A6" t="s">
        <v>16</v>
      </c>
      <c r="B6" s="1">
        <v>1749.51</v>
      </c>
      <c r="C6" s="1">
        <v>1801.07</v>
      </c>
      <c r="D6" s="1">
        <v>1876.57</v>
      </c>
      <c r="E6" s="1">
        <v>2022.88</v>
      </c>
      <c r="F6" s="1">
        <v>2223.16</v>
      </c>
      <c r="G6" s="1">
        <v>2285.8000000000002</v>
      </c>
      <c r="H6" s="1">
        <v>2466.5100000000002</v>
      </c>
      <c r="I6" s="1">
        <v>2488.52</v>
      </c>
      <c r="J6" s="1">
        <v>2691.47</v>
      </c>
      <c r="K6" s="1">
        <v>2673.53</v>
      </c>
      <c r="L6" s="1">
        <v>2801.61</v>
      </c>
      <c r="M6" s="1">
        <v>2958.43</v>
      </c>
      <c r="N6" s="1">
        <v>3080.57</v>
      </c>
      <c r="O6" s="1">
        <v>3244.18</v>
      </c>
      <c r="P6" s="1">
        <v>3401.58</v>
      </c>
      <c r="Q6" s="1">
        <v>3492.02</v>
      </c>
      <c r="R6" s="1">
        <v>3615</v>
      </c>
      <c r="S6" s="1">
        <v>3576.86</v>
      </c>
      <c r="T6" s="1">
        <v>3856.28</v>
      </c>
      <c r="U6" s="1">
        <v>3859.17</v>
      </c>
      <c r="V6" s="1">
        <v>3925.36</v>
      </c>
      <c r="W6" s="1">
        <v>4259.8599999999997</v>
      </c>
      <c r="X6" s="1">
        <v>4340.1400000000003</v>
      </c>
      <c r="Y6" s="1">
        <v>4310.21</v>
      </c>
      <c r="Z6" s="1">
        <v>4593.8500000000004</v>
      </c>
      <c r="AA6" s="1">
        <v>4705.57</v>
      </c>
      <c r="AB6" s="1">
        <v>4729.08</v>
      </c>
      <c r="AC6" s="1">
        <v>4846.13</v>
      </c>
      <c r="AD6" s="1">
        <v>5096.05</v>
      </c>
      <c r="AE6" s="1">
        <v>5006.5200000000004</v>
      </c>
      <c r="AF6" s="1">
        <v>5275.49</v>
      </c>
      <c r="AG6" s="1">
        <v>5423.72</v>
      </c>
      <c r="AH6" s="1">
        <v>5342.66</v>
      </c>
      <c r="AI6" s="1">
        <v>5705.03</v>
      </c>
      <c r="AJ6" s="1">
        <v>5784.73</v>
      </c>
      <c r="AK6" s="1">
        <v>5778.47</v>
      </c>
      <c r="AL6" s="1">
        <v>6070.01</v>
      </c>
      <c r="AM6" s="1">
        <v>6204.01</v>
      </c>
      <c r="AN6" s="1">
        <v>6078.1</v>
      </c>
      <c r="AO6" s="1">
        <v>6227.45</v>
      </c>
      <c r="AP6" s="1">
        <v>6240.27</v>
      </c>
      <c r="AQ6" s="1">
        <v>6511.23</v>
      </c>
      <c r="AR6" s="1">
        <v>6540.3</v>
      </c>
      <c r="AS6" s="1">
        <v>6699.04</v>
      </c>
      <c r="AT6" s="1">
        <v>6879.65</v>
      </c>
      <c r="AU6" s="1">
        <v>6902.7</v>
      </c>
      <c r="AV6" s="1">
        <v>7121.14</v>
      </c>
      <c r="AW6" s="1">
        <v>7049.69</v>
      </c>
      <c r="AX6" s="1">
        <v>7224.97</v>
      </c>
      <c r="AY6" s="1">
        <v>7411.13</v>
      </c>
      <c r="AZ6" s="1">
        <v>7514.48</v>
      </c>
      <c r="BA6" s="1">
        <v>7874.29</v>
      </c>
      <c r="BB6" s="1">
        <v>7764.46</v>
      </c>
      <c r="BC6" s="1">
        <v>7723.55</v>
      </c>
      <c r="BD6" s="1">
        <v>8066.44</v>
      </c>
      <c r="BE6" s="1">
        <v>7899.98</v>
      </c>
      <c r="BF6" s="1">
        <v>8284.15</v>
      </c>
      <c r="BG6" s="1">
        <v>8276.3700000000008</v>
      </c>
      <c r="BH6" s="1">
        <v>8243.92</v>
      </c>
      <c r="BI6" s="1">
        <v>8589.58</v>
      </c>
      <c r="BJ6" s="1">
        <v>8597.18</v>
      </c>
      <c r="BK6" s="1">
        <v>8794.57</v>
      </c>
      <c r="BL6" s="1">
        <v>8828.35</v>
      </c>
      <c r="BM6" s="1">
        <v>8976.25</v>
      </c>
      <c r="BN6" s="1">
        <v>8969.06</v>
      </c>
      <c r="BO6" s="1">
        <v>9531.86</v>
      </c>
      <c r="BP6" s="1">
        <v>9621.91</v>
      </c>
      <c r="BQ6" s="1">
        <v>9272.6200000000008</v>
      </c>
      <c r="BR6" s="1">
        <v>9813.7800000000007</v>
      </c>
      <c r="BS6" s="1">
        <v>9688.67</v>
      </c>
      <c r="BT6" s="1">
        <v>9665.16</v>
      </c>
      <c r="BU6" s="1">
        <v>10199.030000000001</v>
      </c>
      <c r="BV6" s="1">
        <v>10250.07</v>
      </c>
      <c r="BW6" s="1">
        <v>10197.049999999999</v>
      </c>
      <c r="BX6" s="1">
        <v>10133.36</v>
      </c>
      <c r="BY6" s="1">
        <v>10232.36</v>
      </c>
      <c r="BZ6" s="1">
        <v>10475.61</v>
      </c>
      <c r="CA6" s="1">
        <v>10795.25</v>
      </c>
      <c r="CB6" s="1">
        <v>10888.67</v>
      </c>
      <c r="CC6" s="1">
        <v>10741.74</v>
      </c>
      <c r="CD6" s="1">
        <v>10986.26</v>
      </c>
      <c r="CE6" s="1">
        <v>11022.05</v>
      </c>
      <c r="CF6" s="1">
        <v>10978.21</v>
      </c>
      <c r="CG6" s="1">
        <v>11109.92</v>
      </c>
    </row>
    <row r="7" spans="1:85" ht="17" customHeight="1" x14ac:dyDescent="0.2">
      <c r="A7" t="s">
        <v>17</v>
      </c>
      <c r="B7" s="1">
        <v>812.83</v>
      </c>
      <c r="C7" s="1">
        <v>902.96</v>
      </c>
      <c r="D7" s="1">
        <v>765.09</v>
      </c>
      <c r="E7" s="1">
        <v>835.36</v>
      </c>
      <c r="F7" s="1">
        <v>756.35</v>
      </c>
      <c r="G7" s="1">
        <v>860.81</v>
      </c>
      <c r="H7" s="1">
        <v>834.95</v>
      </c>
      <c r="I7" s="1">
        <v>684.19</v>
      </c>
      <c r="J7" s="1">
        <v>662.15</v>
      </c>
      <c r="K7" s="1">
        <v>646.34</v>
      </c>
      <c r="L7" s="1">
        <v>673.46</v>
      </c>
      <c r="M7" s="1">
        <v>651.64</v>
      </c>
      <c r="N7" s="1">
        <v>715.44</v>
      </c>
      <c r="O7" s="1">
        <v>839.64</v>
      </c>
      <c r="P7" s="1">
        <v>822.96</v>
      </c>
      <c r="Q7" s="1">
        <v>668.39</v>
      </c>
      <c r="R7" s="1">
        <v>739.01</v>
      </c>
      <c r="S7" s="1">
        <v>795.77</v>
      </c>
      <c r="T7" s="1">
        <v>653.71</v>
      </c>
      <c r="U7" s="1">
        <v>697.38</v>
      </c>
      <c r="V7" s="1">
        <v>763.58</v>
      </c>
      <c r="W7" s="1">
        <v>909.34</v>
      </c>
      <c r="X7" s="1">
        <v>746.45</v>
      </c>
      <c r="Y7" s="1">
        <v>798.85</v>
      </c>
      <c r="Z7" s="1">
        <v>685.6</v>
      </c>
      <c r="AA7" s="1">
        <v>836.83</v>
      </c>
      <c r="AB7" s="1">
        <v>742.56</v>
      </c>
      <c r="AC7" s="1">
        <v>782.38</v>
      </c>
      <c r="AD7" s="1">
        <v>862.1</v>
      </c>
      <c r="AE7" s="1">
        <v>891.43</v>
      </c>
      <c r="AF7" s="1">
        <v>839.1</v>
      </c>
      <c r="AG7" s="1">
        <v>793.36</v>
      </c>
      <c r="AH7" s="1">
        <v>709.02</v>
      </c>
      <c r="AI7" s="1">
        <v>771.69</v>
      </c>
      <c r="AJ7" s="1">
        <v>584.91</v>
      </c>
      <c r="AK7" s="1">
        <v>732.71</v>
      </c>
      <c r="AL7" s="1">
        <v>776.91</v>
      </c>
      <c r="AM7" s="1">
        <v>612.54999999999995</v>
      </c>
      <c r="AN7" s="1">
        <v>624.47</v>
      </c>
      <c r="AO7" s="1">
        <v>760.69</v>
      </c>
      <c r="AP7" s="1">
        <v>744.73</v>
      </c>
      <c r="AQ7" s="1">
        <v>741.42</v>
      </c>
      <c r="AR7" s="1">
        <v>932.44</v>
      </c>
      <c r="AS7" s="1">
        <v>696.62</v>
      </c>
      <c r="AT7" s="1">
        <v>769.98</v>
      </c>
      <c r="AU7" s="1">
        <v>907.11</v>
      </c>
      <c r="AV7" s="1">
        <v>916.82</v>
      </c>
      <c r="AW7" s="1">
        <v>900.69</v>
      </c>
      <c r="AX7" s="1">
        <v>749.1</v>
      </c>
      <c r="AY7" s="1">
        <v>588.13</v>
      </c>
      <c r="AZ7" s="1">
        <v>613.14</v>
      </c>
      <c r="BA7" s="1">
        <v>672.23</v>
      </c>
      <c r="BB7" s="1">
        <v>820.04</v>
      </c>
      <c r="BC7" s="1">
        <v>745.73</v>
      </c>
      <c r="BD7" s="1">
        <v>824.62</v>
      </c>
      <c r="BE7" s="1">
        <v>660.97</v>
      </c>
      <c r="BF7" s="1">
        <v>823.69</v>
      </c>
      <c r="BG7" s="1">
        <v>714.45</v>
      </c>
      <c r="BH7" s="1">
        <v>910.28</v>
      </c>
      <c r="BI7" s="1">
        <v>687.25</v>
      </c>
      <c r="BJ7" s="1">
        <v>766.82</v>
      </c>
      <c r="BK7" s="1">
        <v>733.98</v>
      </c>
      <c r="BL7" s="1">
        <v>703.33</v>
      </c>
      <c r="BM7" s="1">
        <v>877.39</v>
      </c>
      <c r="BN7" s="1">
        <v>752.95</v>
      </c>
      <c r="BO7" s="1">
        <v>654.13</v>
      </c>
      <c r="BP7" s="1">
        <v>632.55999999999995</v>
      </c>
      <c r="BQ7" s="1">
        <v>681.85</v>
      </c>
      <c r="BR7" s="1">
        <v>701.53</v>
      </c>
      <c r="BS7" s="1">
        <v>727.3</v>
      </c>
      <c r="BT7" s="1">
        <v>658.17</v>
      </c>
      <c r="BU7" s="1">
        <v>843.07</v>
      </c>
      <c r="BV7" s="1">
        <v>748.6</v>
      </c>
      <c r="BW7" s="1">
        <v>611.17999999999995</v>
      </c>
      <c r="BX7" s="1">
        <v>848.06</v>
      </c>
      <c r="BY7" s="1">
        <v>660.96</v>
      </c>
      <c r="BZ7" s="1">
        <v>747.24</v>
      </c>
      <c r="CA7" s="1">
        <v>909.49</v>
      </c>
      <c r="CB7" s="1">
        <v>725.44</v>
      </c>
      <c r="CC7" s="1">
        <v>775.67</v>
      </c>
      <c r="CD7" s="1">
        <v>925.96</v>
      </c>
      <c r="CE7" s="1">
        <v>905.61</v>
      </c>
      <c r="CF7" s="1">
        <v>744.68</v>
      </c>
      <c r="CG7" s="1">
        <v>701.39</v>
      </c>
    </row>
    <row r="8" spans="1:85" s="15" customFormat="1" x14ac:dyDescent="0.2">
      <c r="A8" s="15" t="s">
        <v>18</v>
      </c>
      <c r="B8" s="17">
        <f>SUM(B4:B7)</f>
        <v>11947.91</v>
      </c>
      <c r="C8" s="17">
        <f t="shared" ref="C8:BN8" si="0">SUM(C4:C7)</f>
        <v>13307.95</v>
      </c>
      <c r="D8" s="17">
        <f t="shared" si="0"/>
        <v>13242.24</v>
      </c>
      <c r="E8" s="17">
        <f t="shared" si="0"/>
        <v>13636.82</v>
      </c>
      <c r="F8" s="17">
        <f t="shared" si="0"/>
        <v>14051.359999999999</v>
      </c>
      <c r="G8" s="17">
        <f t="shared" si="0"/>
        <v>13619.51</v>
      </c>
      <c r="H8" s="17">
        <f t="shared" si="0"/>
        <v>14307.42</v>
      </c>
      <c r="I8" s="17">
        <f t="shared" si="0"/>
        <v>13547.550000000001</v>
      </c>
      <c r="J8" s="17">
        <f t="shared" si="0"/>
        <v>13734.599999999999</v>
      </c>
      <c r="K8" s="17">
        <f t="shared" si="0"/>
        <v>14306.340000000002</v>
      </c>
      <c r="L8" s="17">
        <f t="shared" si="0"/>
        <v>14206.82</v>
      </c>
      <c r="M8" s="17">
        <f t="shared" si="0"/>
        <v>14165.05</v>
      </c>
      <c r="N8" s="17">
        <f t="shared" si="0"/>
        <v>14512.19</v>
      </c>
      <c r="O8" s="17">
        <f t="shared" si="0"/>
        <v>14797.59</v>
      </c>
      <c r="P8" s="17">
        <f t="shared" si="0"/>
        <v>14661.509999999998</v>
      </c>
      <c r="Q8" s="17">
        <f t="shared" si="0"/>
        <v>15279.34</v>
      </c>
      <c r="R8" s="17">
        <f t="shared" si="0"/>
        <v>16343.9</v>
      </c>
      <c r="S8" s="17">
        <f t="shared" si="0"/>
        <v>15680.490000000002</v>
      </c>
      <c r="T8" s="17">
        <f t="shared" si="0"/>
        <v>16944.36</v>
      </c>
      <c r="U8" s="17">
        <f t="shared" si="0"/>
        <v>16281.61</v>
      </c>
      <c r="V8" s="17">
        <f t="shared" si="0"/>
        <v>17154.430000000004</v>
      </c>
      <c r="W8" s="17">
        <f t="shared" si="0"/>
        <v>17334.53</v>
      </c>
      <c r="X8" s="17">
        <f t="shared" si="0"/>
        <v>17713.850000000002</v>
      </c>
      <c r="Y8" s="17">
        <f t="shared" si="0"/>
        <v>18823.939999999999</v>
      </c>
      <c r="Z8" s="17">
        <f t="shared" si="0"/>
        <v>18449.64</v>
      </c>
      <c r="AA8" s="17">
        <f t="shared" si="0"/>
        <v>18311.400000000001</v>
      </c>
      <c r="AB8" s="17">
        <f t="shared" si="0"/>
        <v>19127.070000000003</v>
      </c>
      <c r="AC8" s="17">
        <f t="shared" si="0"/>
        <v>19255.86</v>
      </c>
      <c r="AD8" s="17">
        <f t="shared" si="0"/>
        <v>19077.18</v>
      </c>
      <c r="AE8" s="17">
        <f t="shared" si="0"/>
        <v>19250.620000000003</v>
      </c>
      <c r="AF8" s="17">
        <f t="shared" si="0"/>
        <v>19030.47</v>
      </c>
      <c r="AG8" s="17">
        <f t="shared" si="0"/>
        <v>19776.830000000002</v>
      </c>
      <c r="AH8" s="17">
        <f t="shared" si="0"/>
        <v>19809.55</v>
      </c>
      <c r="AI8" s="17">
        <f t="shared" si="0"/>
        <v>19387.169999999998</v>
      </c>
      <c r="AJ8" s="17">
        <f t="shared" si="0"/>
        <v>19873.34</v>
      </c>
      <c r="AK8" s="17">
        <f t="shared" si="0"/>
        <v>19976.400000000001</v>
      </c>
      <c r="AL8" s="17">
        <f t="shared" si="0"/>
        <v>21359.7</v>
      </c>
      <c r="AM8" s="17">
        <f t="shared" si="0"/>
        <v>20769.749999999996</v>
      </c>
      <c r="AN8" s="17">
        <f t="shared" si="0"/>
        <v>20699.29</v>
      </c>
      <c r="AO8" s="17">
        <f t="shared" si="0"/>
        <v>22170.77</v>
      </c>
      <c r="AP8" s="17">
        <f t="shared" si="0"/>
        <v>22616.73</v>
      </c>
      <c r="AQ8" s="17">
        <f t="shared" si="0"/>
        <v>22826.67</v>
      </c>
      <c r="AR8" s="17">
        <f t="shared" si="0"/>
        <v>22168.53</v>
      </c>
      <c r="AS8" s="17">
        <f t="shared" si="0"/>
        <v>22403.23</v>
      </c>
      <c r="AT8" s="17">
        <f t="shared" si="0"/>
        <v>22740.109999999997</v>
      </c>
      <c r="AU8" s="17">
        <f t="shared" si="0"/>
        <v>23599.47</v>
      </c>
      <c r="AV8" s="17">
        <f t="shared" si="0"/>
        <v>24390.31</v>
      </c>
      <c r="AW8" s="17">
        <f t="shared" si="0"/>
        <v>22752.969999999998</v>
      </c>
      <c r="AX8" s="17">
        <f t="shared" si="0"/>
        <v>24450</v>
      </c>
      <c r="AY8" s="17">
        <f t="shared" si="0"/>
        <v>23608.780000000002</v>
      </c>
      <c r="AZ8" s="17">
        <f t="shared" si="0"/>
        <v>23754.289999999997</v>
      </c>
      <c r="BA8" s="17">
        <f t="shared" si="0"/>
        <v>24516.09</v>
      </c>
      <c r="BB8" s="17">
        <f t="shared" si="0"/>
        <v>23891.390000000003</v>
      </c>
      <c r="BC8" s="17">
        <f t="shared" si="0"/>
        <v>24848.62</v>
      </c>
      <c r="BD8" s="17">
        <f t="shared" si="0"/>
        <v>25664.119999999995</v>
      </c>
      <c r="BE8" s="17">
        <f t="shared" si="0"/>
        <v>24784.7</v>
      </c>
      <c r="BF8" s="17">
        <f t="shared" si="0"/>
        <v>25666.819999999996</v>
      </c>
      <c r="BG8" s="17">
        <f t="shared" si="0"/>
        <v>25361.210000000003</v>
      </c>
      <c r="BH8" s="17">
        <f t="shared" si="0"/>
        <v>26285.53</v>
      </c>
      <c r="BI8" s="17">
        <f t="shared" si="0"/>
        <v>27453.65</v>
      </c>
      <c r="BJ8" s="17">
        <f t="shared" si="0"/>
        <v>27170.239999999998</v>
      </c>
      <c r="BK8" s="17">
        <f t="shared" si="0"/>
        <v>27178.53</v>
      </c>
      <c r="BL8" s="17">
        <f t="shared" si="0"/>
        <v>28119.14</v>
      </c>
      <c r="BM8" s="17">
        <f t="shared" si="0"/>
        <v>28365.02</v>
      </c>
      <c r="BN8" s="17">
        <f t="shared" si="0"/>
        <v>27865.749999999996</v>
      </c>
      <c r="BO8" s="17">
        <f t="shared" ref="BO8:CG8" si="1">SUM(BO4:BO7)</f>
        <v>27688.45</v>
      </c>
      <c r="BP8" s="17">
        <f t="shared" si="1"/>
        <v>27832.04</v>
      </c>
      <c r="BQ8" s="17">
        <f t="shared" si="1"/>
        <v>28093.82</v>
      </c>
      <c r="BR8" s="17">
        <f t="shared" si="1"/>
        <v>28994.43</v>
      </c>
      <c r="BS8" s="17">
        <f t="shared" si="1"/>
        <v>28831.84</v>
      </c>
      <c r="BT8" s="17">
        <f t="shared" si="1"/>
        <v>27679.769999999997</v>
      </c>
      <c r="BU8" s="17">
        <f t="shared" si="1"/>
        <v>29027.78</v>
      </c>
      <c r="BV8" s="17">
        <f t="shared" si="1"/>
        <v>29213.049999999996</v>
      </c>
      <c r="BW8" s="17">
        <f t="shared" si="1"/>
        <v>29045.88</v>
      </c>
      <c r="BX8" s="17">
        <f t="shared" si="1"/>
        <v>30245.200000000001</v>
      </c>
      <c r="BY8" s="17">
        <f t="shared" si="1"/>
        <v>29413.68</v>
      </c>
      <c r="BZ8" s="17">
        <f t="shared" si="1"/>
        <v>30244.570000000003</v>
      </c>
      <c r="CA8" s="17">
        <f t="shared" si="1"/>
        <v>32278.9</v>
      </c>
      <c r="CB8" s="17">
        <f t="shared" si="1"/>
        <v>30916.679999999997</v>
      </c>
      <c r="CC8" s="17">
        <f t="shared" si="1"/>
        <v>32007.82</v>
      </c>
      <c r="CD8" s="17">
        <f t="shared" si="1"/>
        <v>32339.08</v>
      </c>
      <c r="CE8" s="17">
        <f t="shared" si="1"/>
        <v>31762.71</v>
      </c>
      <c r="CF8" s="17">
        <f t="shared" si="1"/>
        <v>32050.13</v>
      </c>
      <c r="CG8" s="17">
        <f t="shared" si="1"/>
        <v>32899.279999999999</v>
      </c>
    </row>
    <row r="10" spans="1:85" s="8" customFormat="1" x14ac:dyDescent="0.2">
      <c r="A10" s="2" t="s">
        <v>19</v>
      </c>
    </row>
    <row r="11" spans="1:85" x14ac:dyDescent="0.2">
      <c r="A11" t="s">
        <v>20</v>
      </c>
      <c r="B11" s="1">
        <v>118</v>
      </c>
      <c r="C11" s="1">
        <v>236</v>
      </c>
      <c r="D11" s="1">
        <v>354</v>
      </c>
      <c r="E11" s="1">
        <v>472</v>
      </c>
      <c r="F11" s="1">
        <v>590</v>
      </c>
      <c r="G11" s="1">
        <v>708</v>
      </c>
      <c r="H11" s="1">
        <v>826</v>
      </c>
      <c r="I11" s="1">
        <v>944</v>
      </c>
      <c r="J11" s="1">
        <v>1062</v>
      </c>
      <c r="K11" s="1">
        <v>1180</v>
      </c>
      <c r="L11" s="1">
        <v>1298</v>
      </c>
      <c r="M11" s="1">
        <v>1416</v>
      </c>
      <c r="N11" s="1">
        <v>1534</v>
      </c>
      <c r="O11" s="1">
        <v>1652</v>
      </c>
      <c r="P11" s="1">
        <v>1770</v>
      </c>
      <c r="Q11" s="1">
        <v>1888</v>
      </c>
      <c r="R11" s="1">
        <v>2006</v>
      </c>
      <c r="S11" s="1">
        <v>2124</v>
      </c>
      <c r="T11" s="1">
        <v>2242</v>
      </c>
      <c r="U11" s="1">
        <v>2360</v>
      </c>
      <c r="V11" s="1">
        <v>2478</v>
      </c>
      <c r="W11" s="1">
        <v>2596</v>
      </c>
      <c r="X11" s="1">
        <v>2714</v>
      </c>
      <c r="Y11" s="1">
        <v>2832</v>
      </c>
      <c r="Z11" s="1">
        <v>2950</v>
      </c>
      <c r="AA11" s="1">
        <v>3068</v>
      </c>
      <c r="AB11" s="1">
        <v>3186</v>
      </c>
      <c r="AC11" s="1">
        <v>3304</v>
      </c>
      <c r="AD11" s="1">
        <v>3422</v>
      </c>
      <c r="AE11" s="1">
        <v>940</v>
      </c>
      <c r="AF11" s="1">
        <v>1058</v>
      </c>
      <c r="AG11" s="1">
        <v>1176</v>
      </c>
      <c r="AH11" s="1">
        <v>1294</v>
      </c>
      <c r="AI11" s="1">
        <v>1412</v>
      </c>
      <c r="AJ11" s="1">
        <v>1530</v>
      </c>
      <c r="AK11" s="1">
        <v>1648</v>
      </c>
      <c r="AL11" s="1">
        <v>1766</v>
      </c>
      <c r="AM11" s="1">
        <v>1884</v>
      </c>
      <c r="AN11" s="1">
        <v>2002</v>
      </c>
      <c r="AO11" s="1">
        <v>2120</v>
      </c>
      <c r="AP11" s="1">
        <v>2238</v>
      </c>
      <c r="AQ11" s="1">
        <v>2356</v>
      </c>
      <c r="AR11" s="1">
        <v>2474</v>
      </c>
      <c r="AS11" s="1">
        <v>2592</v>
      </c>
      <c r="AT11" s="1">
        <v>2710</v>
      </c>
      <c r="AU11" s="1">
        <v>2828</v>
      </c>
      <c r="AV11" s="1">
        <v>2946</v>
      </c>
      <c r="AW11" s="1">
        <v>3064</v>
      </c>
      <c r="AX11" s="1">
        <v>3182</v>
      </c>
      <c r="AY11" s="1">
        <v>3300</v>
      </c>
      <c r="AZ11" s="1">
        <v>3418</v>
      </c>
      <c r="BA11" s="1">
        <v>3536</v>
      </c>
      <c r="BB11" s="1">
        <v>3654</v>
      </c>
      <c r="BC11" s="1">
        <v>3772</v>
      </c>
      <c r="BD11" s="1">
        <v>3890</v>
      </c>
      <c r="BE11" s="1">
        <v>4008</v>
      </c>
      <c r="BF11" s="1">
        <v>4126</v>
      </c>
      <c r="BG11" s="1">
        <v>4244</v>
      </c>
      <c r="BH11" s="1">
        <v>4362</v>
      </c>
      <c r="BI11" s="1">
        <v>4480</v>
      </c>
      <c r="BJ11" s="1">
        <v>4598</v>
      </c>
      <c r="BK11" s="1">
        <v>1316</v>
      </c>
      <c r="BL11" s="1">
        <v>1434</v>
      </c>
      <c r="BM11" s="1">
        <v>1552</v>
      </c>
      <c r="BN11" s="1">
        <v>1670</v>
      </c>
      <c r="BO11" s="1">
        <v>1788</v>
      </c>
      <c r="BP11" s="1">
        <v>1906</v>
      </c>
      <c r="BQ11" s="1">
        <v>2024</v>
      </c>
      <c r="BR11" s="1">
        <v>2142</v>
      </c>
      <c r="BS11" s="1">
        <v>2260</v>
      </c>
      <c r="BT11" s="1">
        <v>2378</v>
      </c>
      <c r="BU11" s="1">
        <v>2496</v>
      </c>
      <c r="BV11" s="1">
        <v>2614</v>
      </c>
      <c r="BW11" s="1">
        <v>2732</v>
      </c>
      <c r="BX11" s="1">
        <v>2850</v>
      </c>
      <c r="BY11" s="1">
        <v>2968</v>
      </c>
      <c r="BZ11" s="1">
        <v>3086</v>
      </c>
      <c r="CA11" s="1">
        <v>3204</v>
      </c>
      <c r="CB11" s="1">
        <v>3322</v>
      </c>
      <c r="CC11" s="1">
        <v>3440</v>
      </c>
      <c r="CD11" s="1">
        <v>3558</v>
      </c>
      <c r="CE11" s="1">
        <v>3676</v>
      </c>
      <c r="CF11" s="1">
        <v>3794</v>
      </c>
      <c r="CG11" s="1">
        <v>3912</v>
      </c>
    </row>
    <row r="12" spans="1:85" x14ac:dyDescent="0.2">
      <c r="A12" t="s">
        <v>21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564.51</v>
      </c>
      <c r="K12" s="1">
        <v>700.18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595.79999999999995</v>
      </c>
      <c r="W12" s="1">
        <v>645.22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610.46</v>
      </c>
      <c r="AI12" s="1">
        <v>666.13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710.62</v>
      </c>
      <c r="AU12" s="1">
        <v>690.9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642.9</v>
      </c>
      <c r="BG12" s="1">
        <v>669.7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605.70000000000005</v>
      </c>
      <c r="BS12" s="1">
        <v>647.94000000000005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690.86</v>
      </c>
      <c r="CE12" s="1">
        <v>575.75</v>
      </c>
      <c r="CF12" s="1">
        <v>0</v>
      </c>
      <c r="CG12" s="1">
        <v>0</v>
      </c>
    </row>
    <row r="13" spans="1:85" x14ac:dyDescent="0.2">
      <c r="A13" t="s">
        <v>22</v>
      </c>
      <c r="B13" s="1">
        <v>0</v>
      </c>
      <c r="C13" s="1">
        <v>0</v>
      </c>
      <c r="D13" s="1">
        <v>0</v>
      </c>
      <c r="E13" s="1">
        <v>0</v>
      </c>
      <c r="F13" s="1">
        <v>1271.05</v>
      </c>
      <c r="G13" s="1">
        <v>1130</v>
      </c>
      <c r="H13" s="1">
        <v>1128.3</v>
      </c>
      <c r="I13" s="1">
        <v>1041.6199999999999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1203.57</v>
      </c>
      <c r="S13" s="1">
        <v>1215.18</v>
      </c>
      <c r="T13" s="1">
        <v>1333.59</v>
      </c>
      <c r="U13" s="1">
        <v>1280.31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1196.22</v>
      </c>
      <c r="AE13" s="1">
        <v>1274.44</v>
      </c>
      <c r="AF13" s="1">
        <v>1282.81</v>
      </c>
      <c r="AG13" s="1">
        <v>1129.3599999999999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1302.32</v>
      </c>
      <c r="AQ13" s="1">
        <v>1136.68</v>
      </c>
      <c r="AR13" s="1">
        <v>1073.29</v>
      </c>
      <c r="AS13" s="1">
        <v>1320.15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1084.1099999999999</v>
      </c>
      <c r="BC13" s="1">
        <v>1159.21</v>
      </c>
      <c r="BD13" s="1">
        <v>1213.8599999999999</v>
      </c>
      <c r="BE13" s="1">
        <v>1322.77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1209.17</v>
      </c>
      <c r="BO13" s="1">
        <v>1054</v>
      </c>
      <c r="BP13" s="1">
        <v>1122.32</v>
      </c>
      <c r="BQ13" s="1">
        <v>1026.08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1067.06</v>
      </c>
      <c r="CA13" s="1">
        <v>1251.28</v>
      </c>
      <c r="CB13" s="1">
        <v>1219.73</v>
      </c>
      <c r="CC13" s="1">
        <v>1233.43</v>
      </c>
      <c r="CD13" s="1">
        <v>0</v>
      </c>
      <c r="CE13" s="1">
        <v>0</v>
      </c>
      <c r="CF13" s="1">
        <v>0</v>
      </c>
      <c r="CG13" s="1">
        <v>0</v>
      </c>
    </row>
    <row r="14" spans="1:85" s="2" customFormat="1" x14ac:dyDescent="0.2">
      <c r="A14" s="2" t="s">
        <v>23</v>
      </c>
      <c r="B14" s="3">
        <f>SUM(B11:B13)</f>
        <v>118</v>
      </c>
      <c r="C14" s="3">
        <f t="shared" ref="C14:BN14" si="2">SUM(C11:C13)</f>
        <v>236</v>
      </c>
      <c r="D14" s="3">
        <f t="shared" si="2"/>
        <v>354</v>
      </c>
      <c r="E14" s="3">
        <f t="shared" si="2"/>
        <v>472</v>
      </c>
      <c r="F14" s="3">
        <f t="shared" si="2"/>
        <v>1861.05</v>
      </c>
      <c r="G14" s="3">
        <f t="shared" si="2"/>
        <v>1838</v>
      </c>
      <c r="H14" s="3">
        <f t="shared" si="2"/>
        <v>1954.3</v>
      </c>
      <c r="I14" s="3">
        <f t="shared" si="2"/>
        <v>1985.62</v>
      </c>
      <c r="J14" s="3">
        <f t="shared" si="2"/>
        <v>1626.51</v>
      </c>
      <c r="K14" s="3">
        <f t="shared" si="2"/>
        <v>1880.1799999999998</v>
      </c>
      <c r="L14" s="3">
        <f t="shared" si="2"/>
        <v>1298</v>
      </c>
      <c r="M14" s="3">
        <f t="shared" si="2"/>
        <v>1416</v>
      </c>
      <c r="N14" s="3">
        <f t="shared" si="2"/>
        <v>1534</v>
      </c>
      <c r="O14" s="3">
        <f t="shared" si="2"/>
        <v>1652</v>
      </c>
      <c r="P14" s="3">
        <f t="shared" si="2"/>
        <v>1770</v>
      </c>
      <c r="Q14" s="3">
        <f t="shared" si="2"/>
        <v>1888</v>
      </c>
      <c r="R14" s="3">
        <f t="shared" si="2"/>
        <v>3209.5699999999997</v>
      </c>
      <c r="S14" s="3">
        <f t="shared" si="2"/>
        <v>3339.1800000000003</v>
      </c>
      <c r="T14" s="3">
        <f t="shared" si="2"/>
        <v>3575.59</v>
      </c>
      <c r="U14" s="3">
        <f t="shared" si="2"/>
        <v>3640.31</v>
      </c>
      <c r="V14" s="3">
        <f t="shared" si="2"/>
        <v>3073.8</v>
      </c>
      <c r="W14" s="3">
        <f t="shared" si="2"/>
        <v>3241.2200000000003</v>
      </c>
      <c r="X14" s="3">
        <f t="shared" si="2"/>
        <v>2714</v>
      </c>
      <c r="Y14" s="3">
        <f t="shared" si="2"/>
        <v>2832</v>
      </c>
      <c r="Z14" s="3">
        <f t="shared" si="2"/>
        <v>2950</v>
      </c>
      <c r="AA14" s="3">
        <f t="shared" si="2"/>
        <v>3068</v>
      </c>
      <c r="AB14" s="3">
        <f t="shared" si="2"/>
        <v>3186</v>
      </c>
      <c r="AC14" s="3">
        <f t="shared" si="2"/>
        <v>3304</v>
      </c>
      <c r="AD14" s="3">
        <f t="shared" si="2"/>
        <v>4618.22</v>
      </c>
      <c r="AE14" s="3">
        <f t="shared" si="2"/>
        <v>2214.44</v>
      </c>
      <c r="AF14" s="3">
        <f t="shared" si="2"/>
        <v>2340.81</v>
      </c>
      <c r="AG14" s="3">
        <f t="shared" si="2"/>
        <v>2305.3599999999997</v>
      </c>
      <c r="AH14" s="3">
        <f t="shared" si="2"/>
        <v>1904.46</v>
      </c>
      <c r="AI14" s="3">
        <f t="shared" si="2"/>
        <v>2078.13</v>
      </c>
      <c r="AJ14" s="3">
        <f t="shared" si="2"/>
        <v>1530</v>
      </c>
      <c r="AK14" s="3">
        <f t="shared" si="2"/>
        <v>1648</v>
      </c>
      <c r="AL14" s="3">
        <f t="shared" si="2"/>
        <v>1766</v>
      </c>
      <c r="AM14" s="3">
        <f t="shared" si="2"/>
        <v>1884</v>
      </c>
      <c r="AN14" s="3">
        <f t="shared" si="2"/>
        <v>2002</v>
      </c>
      <c r="AO14" s="3">
        <f t="shared" si="2"/>
        <v>2120</v>
      </c>
      <c r="AP14" s="3">
        <f t="shared" si="2"/>
        <v>3540.3199999999997</v>
      </c>
      <c r="AQ14" s="3">
        <f t="shared" si="2"/>
        <v>3492.6800000000003</v>
      </c>
      <c r="AR14" s="3">
        <f t="shared" si="2"/>
        <v>3547.29</v>
      </c>
      <c r="AS14" s="3">
        <f t="shared" si="2"/>
        <v>3912.15</v>
      </c>
      <c r="AT14" s="3">
        <f t="shared" si="2"/>
        <v>3420.62</v>
      </c>
      <c r="AU14" s="3">
        <f t="shared" si="2"/>
        <v>3518.9</v>
      </c>
      <c r="AV14" s="3">
        <f t="shared" si="2"/>
        <v>2946</v>
      </c>
      <c r="AW14" s="3">
        <f t="shared" si="2"/>
        <v>3064</v>
      </c>
      <c r="AX14" s="3">
        <f t="shared" si="2"/>
        <v>3182</v>
      </c>
      <c r="AY14" s="3">
        <f t="shared" si="2"/>
        <v>3300</v>
      </c>
      <c r="AZ14" s="3">
        <f t="shared" si="2"/>
        <v>3418</v>
      </c>
      <c r="BA14" s="3">
        <f t="shared" si="2"/>
        <v>3536</v>
      </c>
      <c r="BB14" s="3">
        <f t="shared" si="2"/>
        <v>4738.1099999999997</v>
      </c>
      <c r="BC14" s="3">
        <f t="shared" si="2"/>
        <v>4931.21</v>
      </c>
      <c r="BD14" s="3">
        <f t="shared" si="2"/>
        <v>5103.8599999999997</v>
      </c>
      <c r="BE14" s="3">
        <f t="shared" si="2"/>
        <v>5330.77</v>
      </c>
      <c r="BF14" s="3">
        <f t="shared" si="2"/>
        <v>4768.8999999999996</v>
      </c>
      <c r="BG14" s="3">
        <f t="shared" si="2"/>
        <v>4913.7</v>
      </c>
      <c r="BH14" s="3">
        <f t="shared" si="2"/>
        <v>4362</v>
      </c>
      <c r="BI14" s="3">
        <f t="shared" si="2"/>
        <v>4480</v>
      </c>
      <c r="BJ14" s="3">
        <f t="shared" si="2"/>
        <v>4598</v>
      </c>
      <c r="BK14" s="3">
        <f t="shared" si="2"/>
        <v>1316</v>
      </c>
      <c r="BL14" s="3">
        <f t="shared" si="2"/>
        <v>1434</v>
      </c>
      <c r="BM14" s="3">
        <f t="shared" si="2"/>
        <v>1552</v>
      </c>
      <c r="BN14" s="3">
        <f t="shared" si="2"/>
        <v>2879.17</v>
      </c>
      <c r="BO14" s="3">
        <f t="shared" ref="BO14:CG14" si="3">SUM(BO11:BO13)</f>
        <v>2842</v>
      </c>
      <c r="BP14" s="3">
        <f t="shared" si="3"/>
        <v>3028.3199999999997</v>
      </c>
      <c r="BQ14" s="3">
        <f t="shared" si="3"/>
        <v>3050.08</v>
      </c>
      <c r="BR14" s="3">
        <f t="shared" si="3"/>
        <v>2747.7</v>
      </c>
      <c r="BS14" s="3">
        <f t="shared" si="3"/>
        <v>2907.94</v>
      </c>
      <c r="BT14" s="3">
        <f t="shared" si="3"/>
        <v>2378</v>
      </c>
      <c r="BU14" s="3">
        <f t="shared" si="3"/>
        <v>2496</v>
      </c>
      <c r="BV14" s="3">
        <f t="shared" si="3"/>
        <v>2614</v>
      </c>
      <c r="BW14" s="3">
        <f t="shared" si="3"/>
        <v>2732</v>
      </c>
      <c r="BX14" s="3">
        <f t="shared" si="3"/>
        <v>2850</v>
      </c>
      <c r="BY14" s="3">
        <f t="shared" si="3"/>
        <v>2968</v>
      </c>
      <c r="BZ14" s="3">
        <f t="shared" si="3"/>
        <v>4153.0599999999995</v>
      </c>
      <c r="CA14" s="3">
        <f t="shared" si="3"/>
        <v>4455.28</v>
      </c>
      <c r="CB14" s="3">
        <f t="shared" si="3"/>
        <v>4541.7299999999996</v>
      </c>
      <c r="CC14" s="3">
        <f t="shared" si="3"/>
        <v>4673.43</v>
      </c>
      <c r="CD14" s="3">
        <f t="shared" si="3"/>
        <v>4248.8599999999997</v>
      </c>
      <c r="CE14" s="3">
        <f t="shared" si="3"/>
        <v>4251.75</v>
      </c>
      <c r="CF14" s="3">
        <f t="shared" si="3"/>
        <v>3794</v>
      </c>
      <c r="CG14" s="3">
        <f t="shared" si="3"/>
        <v>3912</v>
      </c>
    </row>
    <row r="16" spans="1:85" s="14" customFormat="1" x14ac:dyDescent="0.2">
      <c r="A16" s="12" t="s">
        <v>24</v>
      </c>
    </row>
    <row r="17" spans="1:85" x14ac:dyDescent="0.2">
      <c r="A17" t="s">
        <v>25</v>
      </c>
      <c r="B17" s="1">
        <v>8342.52</v>
      </c>
      <c r="C17" s="1">
        <v>9003.31</v>
      </c>
      <c r="D17" s="1">
        <v>9439.25</v>
      </c>
      <c r="E17" s="1">
        <v>9870.7199999999993</v>
      </c>
      <c r="F17" s="1">
        <v>10242.790000000001</v>
      </c>
      <c r="G17" s="1">
        <v>10050.219999999999</v>
      </c>
      <c r="H17" s="1">
        <v>9477</v>
      </c>
      <c r="I17" s="1">
        <v>10786.4</v>
      </c>
      <c r="J17" s="1">
        <v>11835.47</v>
      </c>
      <c r="K17" s="1">
        <v>12736.8</v>
      </c>
      <c r="L17" s="1">
        <v>12913.94</v>
      </c>
      <c r="M17" s="1">
        <v>13951.22</v>
      </c>
      <c r="N17" s="1">
        <v>14455.64</v>
      </c>
      <c r="O17" s="1">
        <v>14373.42</v>
      </c>
      <c r="P17" s="1">
        <v>16131.69</v>
      </c>
      <c r="Q17" s="1">
        <v>16922.63</v>
      </c>
      <c r="R17" s="1">
        <v>17166.240000000002</v>
      </c>
      <c r="S17" s="1">
        <v>17754.330000000002</v>
      </c>
      <c r="T17" s="1">
        <v>18891.55</v>
      </c>
      <c r="U17" s="1">
        <v>19918.73</v>
      </c>
      <c r="V17" s="1">
        <v>20280.66</v>
      </c>
      <c r="W17" s="1">
        <v>21451.66</v>
      </c>
      <c r="X17" s="1">
        <v>21831.61</v>
      </c>
      <c r="Y17" s="1">
        <v>23093.18</v>
      </c>
      <c r="Z17" s="1">
        <v>23133.61</v>
      </c>
      <c r="AA17" s="1">
        <v>24137.49</v>
      </c>
      <c r="AB17" s="1">
        <v>24743.89</v>
      </c>
      <c r="AC17" s="1">
        <v>25919.55</v>
      </c>
      <c r="AD17" s="1">
        <v>25244.79</v>
      </c>
      <c r="AE17" s="1">
        <v>25021.91</v>
      </c>
      <c r="AF17" s="1">
        <v>26559.39</v>
      </c>
      <c r="AG17" s="1">
        <v>25972.78</v>
      </c>
      <c r="AH17" s="1">
        <v>26406.41</v>
      </c>
      <c r="AI17" s="1">
        <v>25570.51</v>
      </c>
      <c r="AJ17" s="1">
        <v>27666.81</v>
      </c>
      <c r="AK17" s="1">
        <v>28289.81</v>
      </c>
      <c r="AL17" s="1">
        <v>27371.72</v>
      </c>
      <c r="AM17" s="1">
        <v>28243.55</v>
      </c>
      <c r="AN17" s="1">
        <v>29659.439999999999</v>
      </c>
      <c r="AO17" s="1">
        <v>28896.41</v>
      </c>
      <c r="AP17" s="1">
        <v>70693.899999999994</v>
      </c>
      <c r="AQ17" s="1">
        <v>70193.37</v>
      </c>
      <c r="AR17" s="1">
        <v>71252.820000000007</v>
      </c>
      <c r="AS17" s="1">
        <v>72172.570000000007</v>
      </c>
      <c r="AT17" s="1">
        <v>72455.92</v>
      </c>
      <c r="AU17" s="1">
        <v>75193.09</v>
      </c>
      <c r="AV17" s="1">
        <v>77191.75</v>
      </c>
      <c r="AW17" s="1">
        <v>76530.73</v>
      </c>
      <c r="AX17" s="1">
        <v>76435.77</v>
      </c>
      <c r="AY17" s="1">
        <v>75191.820000000007</v>
      </c>
      <c r="AZ17" s="1">
        <v>79227.37</v>
      </c>
      <c r="BA17" s="1">
        <v>83060.12</v>
      </c>
      <c r="BB17" s="1">
        <v>84159.66</v>
      </c>
      <c r="BC17" s="1">
        <v>88299.73</v>
      </c>
      <c r="BD17" s="1">
        <v>91647.31</v>
      </c>
      <c r="BE17" s="1">
        <v>89700.67</v>
      </c>
      <c r="BF17" s="1">
        <v>92452.11</v>
      </c>
      <c r="BG17" s="1">
        <v>95289.13</v>
      </c>
      <c r="BH17" s="1">
        <v>96001.75</v>
      </c>
      <c r="BI17" s="1">
        <v>96250.89</v>
      </c>
      <c r="BJ17" s="1">
        <v>97356.92</v>
      </c>
      <c r="BK17" s="1">
        <v>98573.17</v>
      </c>
      <c r="BL17" s="1">
        <v>105015.33</v>
      </c>
      <c r="BM17" s="1">
        <v>104404.7</v>
      </c>
      <c r="BN17" s="1">
        <v>109105.54</v>
      </c>
      <c r="BO17" s="1">
        <v>107470.37</v>
      </c>
      <c r="BP17" s="1">
        <v>101131.6</v>
      </c>
      <c r="BQ17" s="1">
        <v>99446.92</v>
      </c>
      <c r="BR17" s="1">
        <v>104558.82</v>
      </c>
      <c r="BS17" s="1">
        <v>107918.23</v>
      </c>
      <c r="BT17" s="1">
        <v>113639.78</v>
      </c>
      <c r="BU17" s="1">
        <v>115081.45</v>
      </c>
      <c r="BV17" s="1">
        <v>119645.21</v>
      </c>
      <c r="BW17" s="1">
        <v>125821.96</v>
      </c>
      <c r="BX17" s="1">
        <v>125255.11</v>
      </c>
      <c r="BY17" s="1">
        <v>124695.1</v>
      </c>
      <c r="BZ17" s="1">
        <v>126134.73</v>
      </c>
      <c r="CA17" s="1">
        <v>131095.98000000001</v>
      </c>
      <c r="CB17" s="1">
        <v>124042.96</v>
      </c>
      <c r="CC17" s="1">
        <v>134260.62</v>
      </c>
      <c r="CD17" s="1">
        <v>142466.92000000001</v>
      </c>
      <c r="CE17" s="1">
        <v>143889.31</v>
      </c>
      <c r="CF17" s="1">
        <v>142316.4</v>
      </c>
      <c r="CG17" s="1">
        <v>144465.68</v>
      </c>
    </row>
    <row r="18" spans="1:85" x14ac:dyDescent="0.2">
      <c r="A18" t="s">
        <v>26</v>
      </c>
      <c r="B18" s="1">
        <v>4538.6000000000004</v>
      </c>
      <c r="C18" s="1">
        <v>4923.05</v>
      </c>
      <c r="D18" s="1">
        <v>5172.0600000000004</v>
      </c>
      <c r="E18" s="1">
        <v>5421.11</v>
      </c>
      <c r="F18" s="1">
        <v>5633.23</v>
      </c>
      <c r="G18" s="1">
        <v>5512.85</v>
      </c>
      <c r="H18" s="1">
        <v>5184.25</v>
      </c>
      <c r="I18" s="1">
        <v>5942.26</v>
      </c>
      <c r="J18" s="1">
        <v>6541.11</v>
      </c>
      <c r="K18" s="1">
        <v>7066.16</v>
      </c>
      <c r="L18" s="1">
        <v>7175.87</v>
      </c>
      <c r="M18" s="1">
        <v>7795.01</v>
      </c>
      <c r="N18" s="1">
        <v>8093.4</v>
      </c>
      <c r="O18" s="1">
        <v>8043.9</v>
      </c>
      <c r="P18" s="1">
        <v>9073.39</v>
      </c>
      <c r="Q18" s="1">
        <v>9526.18</v>
      </c>
      <c r="R18" s="1">
        <v>9660.08</v>
      </c>
      <c r="S18" s="1">
        <v>9998.58</v>
      </c>
      <c r="T18" s="1">
        <v>10670.8</v>
      </c>
      <c r="U18" s="1">
        <v>11285.52</v>
      </c>
      <c r="V18" s="1">
        <v>11482.19</v>
      </c>
      <c r="W18" s="1">
        <v>12164.09</v>
      </c>
      <c r="X18" s="1">
        <v>12395.97</v>
      </c>
      <c r="Y18" s="1">
        <v>13142.62</v>
      </c>
      <c r="Z18" s="1">
        <v>13150.97</v>
      </c>
      <c r="AA18" s="1">
        <v>13741.86</v>
      </c>
      <c r="AB18" s="1">
        <v>14099.61</v>
      </c>
      <c r="AC18" s="1">
        <v>14786.92</v>
      </c>
      <c r="AD18" s="1">
        <v>14364.88</v>
      </c>
      <c r="AE18" s="1">
        <v>14220.16</v>
      </c>
      <c r="AF18" s="1">
        <v>15123.17</v>
      </c>
      <c r="AG18" s="1">
        <v>14768.58</v>
      </c>
      <c r="AH18" s="1">
        <v>15021.03</v>
      </c>
      <c r="AI18" s="1">
        <v>14512.08</v>
      </c>
      <c r="AJ18" s="1">
        <v>15753.03</v>
      </c>
      <c r="AK18" s="1">
        <v>16117.78</v>
      </c>
      <c r="AL18" s="1">
        <v>15561.44</v>
      </c>
      <c r="AM18" s="1">
        <v>16068.12</v>
      </c>
      <c r="AN18" s="1">
        <v>16910.759999999998</v>
      </c>
      <c r="AO18" s="1">
        <v>16454.990000000002</v>
      </c>
      <c r="AP18" s="1">
        <v>42509.75</v>
      </c>
      <c r="AQ18" s="1">
        <v>42172.9</v>
      </c>
      <c r="AR18" s="1">
        <v>42814.68</v>
      </c>
      <c r="AS18" s="1">
        <v>43384.27</v>
      </c>
      <c r="AT18" s="1">
        <v>43536.83</v>
      </c>
      <c r="AU18" s="1">
        <v>45255.26</v>
      </c>
      <c r="AV18" s="1">
        <v>46495.88</v>
      </c>
      <c r="AW18" s="1">
        <v>46059.15</v>
      </c>
      <c r="AX18" s="1">
        <v>45968.09</v>
      </c>
      <c r="AY18" s="1">
        <v>45155.62</v>
      </c>
      <c r="AZ18" s="1">
        <v>47678.14</v>
      </c>
      <c r="BA18" s="1">
        <v>50075.13</v>
      </c>
      <c r="BB18" s="1">
        <v>50750.64</v>
      </c>
      <c r="BC18" s="1">
        <v>53345.84</v>
      </c>
      <c r="BD18" s="1">
        <v>55444.85</v>
      </c>
      <c r="BE18" s="1">
        <v>54176.55</v>
      </c>
      <c r="BF18" s="1">
        <v>55898.26</v>
      </c>
      <c r="BG18" s="1">
        <v>57675.11</v>
      </c>
      <c r="BH18" s="1">
        <v>58111.49</v>
      </c>
      <c r="BI18" s="1">
        <v>58234.25</v>
      </c>
      <c r="BJ18" s="1">
        <v>58907.28</v>
      </c>
      <c r="BK18" s="1">
        <v>59652.06</v>
      </c>
      <c r="BL18" s="1">
        <v>63729.67</v>
      </c>
      <c r="BM18" s="1">
        <v>63304.55</v>
      </c>
      <c r="BN18" s="1">
        <v>66282.37</v>
      </c>
      <c r="BO18" s="1">
        <v>65202.61</v>
      </c>
      <c r="BP18" s="1">
        <v>61142.25</v>
      </c>
      <c r="BQ18" s="1">
        <v>60043.74</v>
      </c>
      <c r="BR18" s="1">
        <v>63257.27</v>
      </c>
      <c r="BS18" s="1">
        <v>65370.44</v>
      </c>
      <c r="BT18" s="1">
        <v>68982.7</v>
      </c>
      <c r="BU18" s="1">
        <v>69889.320000000007</v>
      </c>
      <c r="BV18" s="1">
        <v>72783.570000000007</v>
      </c>
      <c r="BW18" s="1">
        <v>76705.67</v>
      </c>
      <c r="BX18" s="1">
        <v>76313.83</v>
      </c>
      <c r="BY18" s="1">
        <v>75926.67</v>
      </c>
      <c r="BZ18" s="1">
        <v>76813.509999999995</v>
      </c>
      <c r="CA18" s="1">
        <v>79963.7</v>
      </c>
      <c r="CB18" s="1">
        <v>75427.91</v>
      </c>
      <c r="CC18" s="1">
        <v>81939.990000000005</v>
      </c>
      <c r="CD18" s="1">
        <v>87185.66</v>
      </c>
      <c r="CE18" s="1">
        <v>88078.23</v>
      </c>
      <c r="CF18" s="1">
        <v>87036.33</v>
      </c>
      <c r="CG18" s="1">
        <v>88376.3</v>
      </c>
    </row>
    <row r="19" spans="1:85" x14ac:dyDescent="0.2">
      <c r="A19" t="s">
        <v>27</v>
      </c>
      <c r="B19" s="1">
        <v>2664.91</v>
      </c>
      <c r="C19" s="1">
        <v>2922.19</v>
      </c>
      <c r="D19" s="1">
        <v>3072.41</v>
      </c>
      <c r="E19" s="1">
        <v>3217.93</v>
      </c>
      <c r="F19" s="1">
        <v>3342.48</v>
      </c>
      <c r="G19" s="1">
        <v>3214.6</v>
      </c>
      <c r="H19" s="1">
        <v>2934.3</v>
      </c>
      <c r="I19" s="1">
        <v>3451.04</v>
      </c>
      <c r="J19" s="1">
        <v>3862.53</v>
      </c>
      <c r="K19" s="1">
        <v>4213.93</v>
      </c>
      <c r="L19" s="1">
        <v>4257.08</v>
      </c>
      <c r="M19" s="1">
        <v>4685.4799999999996</v>
      </c>
      <c r="N19" s="1">
        <v>4866.74</v>
      </c>
      <c r="O19" s="1">
        <v>4784.5200000000004</v>
      </c>
      <c r="P19" s="1">
        <v>5538.72</v>
      </c>
      <c r="Q19" s="1">
        <v>5854.76</v>
      </c>
      <c r="R19" s="1">
        <v>5917.34</v>
      </c>
      <c r="S19" s="1">
        <v>6143.4</v>
      </c>
      <c r="T19" s="1">
        <v>6625.36</v>
      </c>
      <c r="U19" s="1">
        <v>7058.72</v>
      </c>
      <c r="V19" s="1">
        <v>7172.18</v>
      </c>
      <c r="W19" s="1">
        <v>7669.42</v>
      </c>
      <c r="X19" s="1">
        <v>7801.53</v>
      </c>
      <c r="Y19" s="1">
        <v>8356.08</v>
      </c>
      <c r="Z19" s="1">
        <v>8316.99</v>
      </c>
      <c r="AA19" s="1">
        <v>8751.9699999999993</v>
      </c>
      <c r="AB19" s="1">
        <v>8988.9500000000007</v>
      </c>
      <c r="AC19" s="1">
        <v>9499.9699999999993</v>
      </c>
      <c r="AD19" s="1">
        <v>9102.65</v>
      </c>
      <c r="AE19" s="1">
        <v>8936.3700000000008</v>
      </c>
      <c r="AF19" s="1">
        <v>9619.64</v>
      </c>
      <c r="AG19" s="1">
        <v>9274.51</v>
      </c>
      <c r="AH19" s="1">
        <v>9421.56</v>
      </c>
      <c r="AI19" s="1">
        <v>8962.6</v>
      </c>
      <c r="AJ19" s="1">
        <v>9895.23</v>
      </c>
      <c r="AK19" s="1">
        <v>10141.120000000001</v>
      </c>
      <c r="AL19" s="1">
        <v>9635.44</v>
      </c>
      <c r="AM19" s="1">
        <v>9992.01</v>
      </c>
      <c r="AN19" s="1">
        <v>10612.14</v>
      </c>
      <c r="AO19" s="1">
        <v>10193.209999999999</v>
      </c>
      <c r="AP19" s="1">
        <v>30989.05</v>
      </c>
      <c r="AQ19" s="1">
        <v>30596.3</v>
      </c>
      <c r="AR19" s="1">
        <v>31121.24</v>
      </c>
      <c r="AS19" s="1">
        <v>31564.52</v>
      </c>
      <c r="AT19" s="1">
        <v>31631.21</v>
      </c>
      <c r="AU19" s="1">
        <v>33143.94</v>
      </c>
      <c r="AV19" s="1">
        <v>34231.85</v>
      </c>
      <c r="AW19" s="1">
        <v>33733.699999999997</v>
      </c>
      <c r="AX19" s="1">
        <v>33568.11</v>
      </c>
      <c r="AY19" s="1">
        <v>32716.959999999999</v>
      </c>
      <c r="AZ19" s="1">
        <v>34982.82</v>
      </c>
      <c r="BA19" s="1">
        <v>37162.699999999997</v>
      </c>
      <c r="BB19" s="1">
        <v>37713.01</v>
      </c>
      <c r="BC19" s="1">
        <v>40106.06</v>
      </c>
      <c r="BD19" s="1">
        <v>42043.59</v>
      </c>
      <c r="BE19" s="1">
        <v>40722.11</v>
      </c>
      <c r="BF19" s="1">
        <v>42298.68</v>
      </c>
      <c r="BG19" s="1">
        <v>43934.85</v>
      </c>
      <c r="BH19" s="1">
        <v>44266.75</v>
      </c>
      <c r="BI19" s="1">
        <v>44298.39</v>
      </c>
      <c r="BJ19" s="1">
        <v>44864.15</v>
      </c>
      <c r="BK19" s="1">
        <v>45497.599999999999</v>
      </c>
      <c r="BL19" s="1">
        <v>49393.86</v>
      </c>
      <c r="BM19" s="1">
        <v>48877.120000000003</v>
      </c>
      <c r="BN19" s="1">
        <v>51733.54</v>
      </c>
      <c r="BO19" s="1">
        <v>50559.56</v>
      </c>
      <c r="BP19" s="1">
        <v>46412.33</v>
      </c>
      <c r="BQ19" s="1">
        <v>45249.55</v>
      </c>
      <c r="BR19" s="1">
        <v>48274.12</v>
      </c>
      <c r="BS19" s="1">
        <v>50247.519999999997</v>
      </c>
      <c r="BT19" s="1">
        <v>53718.26</v>
      </c>
      <c r="BU19" s="1">
        <v>54523.199999999997</v>
      </c>
      <c r="BV19" s="1">
        <v>57322.69</v>
      </c>
      <c r="BW19" s="1">
        <v>61185.33</v>
      </c>
      <c r="BX19" s="1">
        <v>60678.29</v>
      </c>
      <c r="BY19" s="1">
        <v>60171.99</v>
      </c>
      <c r="BZ19" s="1">
        <v>60973.54</v>
      </c>
      <c r="CA19" s="1">
        <v>64084.480000000003</v>
      </c>
      <c r="CB19" s="1">
        <v>59307.11</v>
      </c>
      <c r="CC19" s="1">
        <v>65783.199999999997</v>
      </c>
      <c r="CD19" s="1">
        <v>71084.27</v>
      </c>
      <c r="CE19" s="1">
        <v>71902.12</v>
      </c>
      <c r="CF19" s="1">
        <v>70690.259999999995</v>
      </c>
      <c r="CG19" s="1">
        <v>71982.710000000006</v>
      </c>
    </row>
    <row r="20" spans="1:85" x14ac:dyDescent="0.2">
      <c r="A20" t="s">
        <v>28</v>
      </c>
      <c r="B20" s="1">
        <v>1544.11</v>
      </c>
      <c r="C20" s="1">
        <v>1657.42</v>
      </c>
      <c r="D20" s="1">
        <v>1731.7</v>
      </c>
      <c r="E20" s="1">
        <v>1805.35</v>
      </c>
      <c r="F20" s="1">
        <v>1873.25</v>
      </c>
      <c r="G20" s="1">
        <v>1848.83</v>
      </c>
      <c r="H20" s="1">
        <v>1767.8</v>
      </c>
      <c r="I20" s="1">
        <v>1980.83</v>
      </c>
      <c r="J20" s="1">
        <v>2150.0300000000002</v>
      </c>
      <c r="K20" s="1">
        <v>2296.0300000000002</v>
      </c>
      <c r="L20" s="1">
        <v>2333.0100000000002</v>
      </c>
      <c r="M20" s="1">
        <v>2504.36</v>
      </c>
      <c r="N20" s="1">
        <v>2590.35</v>
      </c>
      <c r="O20" s="1">
        <v>2586.8200000000002</v>
      </c>
      <c r="P20" s="1">
        <v>2867.56</v>
      </c>
      <c r="Q20" s="1">
        <v>2994.15</v>
      </c>
      <c r="R20" s="1">
        <v>3039.7</v>
      </c>
      <c r="S20" s="1">
        <v>3140.08</v>
      </c>
      <c r="T20" s="1">
        <v>3322.65</v>
      </c>
      <c r="U20" s="1">
        <v>3486.72</v>
      </c>
      <c r="V20" s="1">
        <v>3549.25</v>
      </c>
      <c r="W20" s="1">
        <v>3734.15</v>
      </c>
      <c r="X20" s="1">
        <v>3803.44</v>
      </c>
      <c r="Y20" s="1">
        <v>4001.86</v>
      </c>
      <c r="Z20" s="1">
        <v>4019.09</v>
      </c>
      <c r="AA20" s="1">
        <v>4177.7700000000004</v>
      </c>
      <c r="AB20" s="1">
        <v>4275.7299999999996</v>
      </c>
      <c r="AC20" s="1">
        <v>4458.8900000000003</v>
      </c>
      <c r="AD20" s="1">
        <v>4372.2299999999996</v>
      </c>
      <c r="AE20" s="1">
        <v>4352.4799999999996</v>
      </c>
      <c r="AF20" s="1">
        <v>4591.43</v>
      </c>
      <c r="AG20" s="1">
        <v>4519.26</v>
      </c>
      <c r="AH20" s="1">
        <v>4592.25</v>
      </c>
      <c r="AI20" s="1">
        <v>4481.37</v>
      </c>
      <c r="AJ20" s="1">
        <v>4801.87</v>
      </c>
      <c r="AK20" s="1">
        <v>4906.63</v>
      </c>
      <c r="AL20" s="1">
        <v>4779.25</v>
      </c>
      <c r="AM20" s="1">
        <v>4919.76</v>
      </c>
      <c r="AN20" s="1">
        <v>5143.25</v>
      </c>
      <c r="AO20" s="1">
        <v>5041.5600000000004</v>
      </c>
      <c r="AP20" s="1">
        <v>13318.42</v>
      </c>
      <c r="AQ20" s="1">
        <v>13245.74</v>
      </c>
      <c r="AR20" s="1">
        <v>13420.16</v>
      </c>
      <c r="AS20" s="1">
        <v>13576.47</v>
      </c>
      <c r="AT20" s="1">
        <v>13630.17</v>
      </c>
      <c r="AU20" s="1">
        <v>14076.62</v>
      </c>
      <c r="AV20" s="1">
        <v>14402.49</v>
      </c>
      <c r="AW20" s="1">
        <v>14307.52</v>
      </c>
      <c r="AX20" s="1">
        <v>14299.27</v>
      </c>
      <c r="AY20" s="1">
        <v>14106.39</v>
      </c>
      <c r="AZ20" s="1">
        <v>14757.12</v>
      </c>
      <c r="BA20" s="1">
        <v>15373.46</v>
      </c>
      <c r="BB20" s="1">
        <v>15553.29</v>
      </c>
      <c r="BC20" s="1">
        <v>16211.36</v>
      </c>
      <c r="BD20" s="1">
        <v>16740.96</v>
      </c>
      <c r="BE20" s="1">
        <v>16445.03</v>
      </c>
      <c r="BF20" s="1">
        <v>16885.11</v>
      </c>
      <c r="BG20" s="1">
        <v>17331.400000000001</v>
      </c>
      <c r="BH20" s="1">
        <v>17449.580000000002</v>
      </c>
      <c r="BI20" s="1">
        <v>17492.93</v>
      </c>
      <c r="BJ20" s="1">
        <v>17670.87</v>
      </c>
      <c r="BK20" s="1">
        <v>17867.55</v>
      </c>
      <c r="BL20" s="1">
        <v>18870.990000000002</v>
      </c>
      <c r="BM20" s="1">
        <v>18787.650000000001</v>
      </c>
      <c r="BN20" s="1">
        <v>19518.62</v>
      </c>
      <c r="BO20" s="1">
        <v>19280.490000000002</v>
      </c>
      <c r="BP20" s="1">
        <v>18322.37</v>
      </c>
      <c r="BQ20" s="1">
        <v>18071.14</v>
      </c>
      <c r="BR20" s="1">
        <v>18867.68</v>
      </c>
      <c r="BS20" s="1">
        <v>19393.490000000002</v>
      </c>
      <c r="BT20" s="1">
        <v>20277.27</v>
      </c>
      <c r="BU20" s="1">
        <v>20508.009999999998</v>
      </c>
      <c r="BV20" s="1">
        <v>21208.69</v>
      </c>
      <c r="BW20" s="1">
        <v>22150.69</v>
      </c>
      <c r="BX20" s="1">
        <v>22073.26</v>
      </c>
      <c r="BY20" s="1">
        <v>21997.41</v>
      </c>
      <c r="BZ20" s="1">
        <v>22220.47</v>
      </c>
      <c r="CA20" s="1">
        <v>22974.63</v>
      </c>
      <c r="CB20" s="1">
        <v>21936.240000000002</v>
      </c>
      <c r="CC20" s="1">
        <v>23486.3</v>
      </c>
      <c r="CD20" s="1">
        <v>24719.87</v>
      </c>
      <c r="CE20" s="1">
        <v>24941</v>
      </c>
      <c r="CF20" s="1">
        <v>24718.11</v>
      </c>
      <c r="CG20" s="1">
        <v>25044.57</v>
      </c>
    </row>
    <row r="21" spans="1:85" x14ac:dyDescent="0.2">
      <c r="A21" t="s">
        <v>29</v>
      </c>
      <c r="B21" s="1">
        <v>2249.12</v>
      </c>
      <c r="C21" s="1">
        <v>2315.7399999999998</v>
      </c>
      <c r="D21" s="1">
        <v>2375.0500000000002</v>
      </c>
      <c r="E21" s="1">
        <v>2432.4499999999998</v>
      </c>
      <c r="F21" s="1">
        <v>2489.42</v>
      </c>
      <c r="G21" s="1">
        <v>2523.66</v>
      </c>
      <c r="H21" s="1">
        <v>2543.85</v>
      </c>
      <c r="I21" s="1">
        <v>2637.24</v>
      </c>
      <c r="J21" s="1">
        <v>2719.28</v>
      </c>
      <c r="K21" s="1">
        <v>2793.6</v>
      </c>
      <c r="L21" s="1">
        <v>2843.37</v>
      </c>
      <c r="M21" s="1">
        <v>2921.67</v>
      </c>
      <c r="N21" s="1">
        <v>2981.35</v>
      </c>
      <c r="O21" s="1">
        <v>3022.48</v>
      </c>
      <c r="P21" s="1">
        <v>3121.29</v>
      </c>
      <c r="Q21" s="1">
        <v>3189.39</v>
      </c>
      <c r="R21" s="1">
        <v>3243.69</v>
      </c>
      <c r="S21" s="1">
        <v>3306.64</v>
      </c>
      <c r="T21" s="1">
        <v>3383.68</v>
      </c>
      <c r="U21" s="1">
        <v>3457.01</v>
      </c>
      <c r="V21" s="1">
        <v>3513.39</v>
      </c>
      <c r="W21" s="1">
        <v>3590.85</v>
      </c>
      <c r="X21" s="1">
        <v>3649.35</v>
      </c>
      <c r="Y21" s="1">
        <v>3728.16</v>
      </c>
      <c r="Z21" s="1">
        <v>3775.84</v>
      </c>
      <c r="AA21" s="1">
        <v>3849.14</v>
      </c>
      <c r="AB21" s="1">
        <v>3909.58</v>
      </c>
      <c r="AC21" s="1">
        <v>3983.91</v>
      </c>
      <c r="AD21" s="1">
        <v>4015</v>
      </c>
      <c r="AE21" s="1">
        <v>4055.8</v>
      </c>
      <c r="AF21" s="1">
        <v>4139.5200000000004</v>
      </c>
      <c r="AG21" s="1">
        <v>4174.47</v>
      </c>
      <c r="AH21" s="1">
        <v>4232.5200000000004</v>
      </c>
      <c r="AI21" s="1">
        <v>4258.32</v>
      </c>
      <c r="AJ21" s="1">
        <v>4358.92</v>
      </c>
      <c r="AK21" s="1">
        <v>4419.83</v>
      </c>
      <c r="AL21" s="1">
        <v>4445.6899999999996</v>
      </c>
      <c r="AM21" s="1">
        <v>4514.8900000000003</v>
      </c>
      <c r="AN21" s="1">
        <v>4595.1099999999997</v>
      </c>
      <c r="AO21" s="1">
        <v>4624.01</v>
      </c>
      <c r="AP21" s="1">
        <v>11713.21</v>
      </c>
      <c r="AQ21" s="1">
        <v>11748.25</v>
      </c>
      <c r="AR21" s="1">
        <v>11820.61</v>
      </c>
      <c r="AS21" s="1">
        <v>11890.41</v>
      </c>
      <c r="AT21" s="1">
        <v>11946.04</v>
      </c>
      <c r="AU21" s="1">
        <v>12062.47</v>
      </c>
      <c r="AV21" s="1">
        <v>12159.17</v>
      </c>
      <c r="AW21" s="1">
        <v>12191.23</v>
      </c>
      <c r="AX21" s="1">
        <v>12237.93</v>
      </c>
      <c r="AY21" s="1">
        <v>12253.84</v>
      </c>
      <c r="AZ21" s="1">
        <v>12401.48</v>
      </c>
      <c r="BA21" s="1">
        <v>12540.57</v>
      </c>
      <c r="BB21" s="1">
        <v>12612.74</v>
      </c>
      <c r="BC21" s="1">
        <v>12755.14</v>
      </c>
      <c r="BD21" s="1">
        <v>12875.7</v>
      </c>
      <c r="BE21" s="1">
        <v>12881.83</v>
      </c>
      <c r="BF21" s="1">
        <v>12989.17</v>
      </c>
      <c r="BG21" s="1">
        <v>13097.32</v>
      </c>
      <c r="BH21" s="1">
        <v>13159.6</v>
      </c>
      <c r="BI21" s="1">
        <v>13215.33</v>
      </c>
      <c r="BJ21" s="1">
        <v>13286.68</v>
      </c>
      <c r="BK21" s="1">
        <v>13359.22</v>
      </c>
      <c r="BL21" s="1">
        <v>13540.69</v>
      </c>
      <c r="BM21" s="1">
        <v>13578.24</v>
      </c>
      <c r="BN21" s="1">
        <v>13721.14</v>
      </c>
      <c r="BO21" s="1">
        <v>13741.35</v>
      </c>
      <c r="BP21" s="1">
        <v>13668.38</v>
      </c>
      <c r="BQ21" s="1">
        <v>13683.37</v>
      </c>
      <c r="BR21" s="1">
        <v>13838.42</v>
      </c>
      <c r="BS21" s="1">
        <v>13955.99</v>
      </c>
      <c r="BT21" s="1">
        <v>14117.88</v>
      </c>
      <c r="BU21" s="1">
        <v>14194.93</v>
      </c>
      <c r="BV21" s="1">
        <v>14330.91</v>
      </c>
      <c r="BW21" s="1">
        <v>14492.82</v>
      </c>
      <c r="BX21" s="1">
        <v>14533.58</v>
      </c>
      <c r="BY21" s="1">
        <v>14575.55</v>
      </c>
      <c r="BZ21" s="1">
        <v>14651.19</v>
      </c>
      <c r="CA21" s="1">
        <v>14786.83</v>
      </c>
      <c r="CB21" s="1">
        <v>14719.77</v>
      </c>
      <c r="CC21" s="1">
        <v>14953.7</v>
      </c>
      <c r="CD21" s="1">
        <v>15141.88</v>
      </c>
      <c r="CE21" s="1">
        <v>15216.51</v>
      </c>
      <c r="CF21" s="1">
        <v>15243.08</v>
      </c>
      <c r="CG21" s="1">
        <v>15329.13</v>
      </c>
    </row>
    <row r="22" spans="1:85" s="12" customFormat="1" x14ac:dyDescent="0.2">
      <c r="A22" s="12" t="s">
        <v>30</v>
      </c>
      <c r="B22" s="13">
        <f>SUM(B17:B21)</f>
        <v>19339.259999999998</v>
      </c>
      <c r="C22" s="13">
        <f t="shared" ref="C22:BN22" si="4">SUM(C17:C21)</f>
        <v>20821.71</v>
      </c>
      <c r="D22" s="13">
        <f t="shared" si="4"/>
        <v>21790.47</v>
      </c>
      <c r="E22" s="13">
        <f t="shared" si="4"/>
        <v>22747.559999999998</v>
      </c>
      <c r="F22" s="13">
        <f t="shared" si="4"/>
        <v>23581.17</v>
      </c>
      <c r="G22" s="13">
        <f t="shared" si="4"/>
        <v>23150.16</v>
      </c>
      <c r="H22" s="13">
        <f t="shared" si="4"/>
        <v>21907.199999999997</v>
      </c>
      <c r="I22" s="13">
        <f t="shared" si="4"/>
        <v>24797.769999999997</v>
      </c>
      <c r="J22" s="13">
        <f t="shared" si="4"/>
        <v>27108.419999999995</v>
      </c>
      <c r="K22" s="13">
        <f t="shared" si="4"/>
        <v>29106.519999999997</v>
      </c>
      <c r="L22" s="13">
        <f t="shared" si="4"/>
        <v>29523.27</v>
      </c>
      <c r="M22" s="13">
        <f t="shared" si="4"/>
        <v>31857.739999999998</v>
      </c>
      <c r="N22" s="13">
        <f t="shared" si="4"/>
        <v>32987.479999999996</v>
      </c>
      <c r="O22" s="13">
        <f t="shared" si="4"/>
        <v>32811.14</v>
      </c>
      <c r="P22" s="13">
        <f t="shared" si="4"/>
        <v>36732.65</v>
      </c>
      <c r="Q22" s="13">
        <f t="shared" si="4"/>
        <v>38487.11</v>
      </c>
      <c r="R22" s="13">
        <f t="shared" si="4"/>
        <v>39027.050000000003</v>
      </c>
      <c r="S22" s="13">
        <f t="shared" si="4"/>
        <v>40343.030000000006</v>
      </c>
      <c r="T22" s="13">
        <f t="shared" si="4"/>
        <v>42894.04</v>
      </c>
      <c r="U22" s="13">
        <f t="shared" si="4"/>
        <v>45206.700000000004</v>
      </c>
      <c r="V22" s="13">
        <f t="shared" si="4"/>
        <v>45997.67</v>
      </c>
      <c r="W22" s="13">
        <f t="shared" si="4"/>
        <v>48610.17</v>
      </c>
      <c r="X22" s="13">
        <f t="shared" si="4"/>
        <v>49481.9</v>
      </c>
      <c r="Y22" s="13">
        <f t="shared" si="4"/>
        <v>52321.900000000009</v>
      </c>
      <c r="Z22" s="13">
        <f t="shared" si="4"/>
        <v>52396.5</v>
      </c>
      <c r="AA22" s="13">
        <f t="shared" si="4"/>
        <v>54658.23000000001</v>
      </c>
      <c r="AB22" s="13">
        <f t="shared" si="4"/>
        <v>56017.759999999995</v>
      </c>
      <c r="AC22" s="13">
        <f t="shared" si="4"/>
        <v>58649.240000000005</v>
      </c>
      <c r="AD22" s="13">
        <f t="shared" si="4"/>
        <v>57099.55</v>
      </c>
      <c r="AE22" s="13">
        <f t="shared" si="4"/>
        <v>56586.720000000001</v>
      </c>
      <c r="AF22" s="13">
        <f t="shared" si="4"/>
        <v>60033.149999999994</v>
      </c>
      <c r="AG22" s="13">
        <f t="shared" si="4"/>
        <v>58709.600000000006</v>
      </c>
      <c r="AH22" s="13">
        <f t="shared" si="4"/>
        <v>59673.770000000004</v>
      </c>
      <c r="AI22" s="13">
        <f t="shared" si="4"/>
        <v>57784.88</v>
      </c>
      <c r="AJ22" s="13">
        <f t="shared" si="4"/>
        <v>62475.860000000008</v>
      </c>
      <c r="AK22" s="13">
        <f t="shared" si="4"/>
        <v>63875.170000000006</v>
      </c>
      <c r="AL22" s="13">
        <f t="shared" si="4"/>
        <v>61793.540000000008</v>
      </c>
      <c r="AM22" s="13">
        <f t="shared" si="4"/>
        <v>63738.33</v>
      </c>
      <c r="AN22" s="13">
        <f t="shared" si="4"/>
        <v>66920.7</v>
      </c>
      <c r="AO22" s="13">
        <f t="shared" si="4"/>
        <v>65210.18</v>
      </c>
      <c r="AP22" s="13">
        <f t="shared" si="4"/>
        <v>169224.33</v>
      </c>
      <c r="AQ22" s="13">
        <f t="shared" si="4"/>
        <v>167956.55999999997</v>
      </c>
      <c r="AR22" s="13">
        <f t="shared" si="4"/>
        <v>170429.51</v>
      </c>
      <c r="AS22" s="13">
        <f t="shared" si="4"/>
        <v>172588.24</v>
      </c>
      <c r="AT22" s="13">
        <f t="shared" si="4"/>
        <v>173200.17</v>
      </c>
      <c r="AU22" s="13">
        <f t="shared" si="4"/>
        <v>179731.38</v>
      </c>
      <c r="AV22" s="13">
        <f t="shared" si="4"/>
        <v>184481.14</v>
      </c>
      <c r="AW22" s="13">
        <f t="shared" si="4"/>
        <v>182822.33000000002</v>
      </c>
      <c r="AX22" s="13">
        <f t="shared" si="4"/>
        <v>182509.16999999998</v>
      </c>
      <c r="AY22" s="13">
        <f t="shared" si="4"/>
        <v>179424.62999999998</v>
      </c>
      <c r="AZ22" s="13">
        <f t="shared" si="4"/>
        <v>189046.93</v>
      </c>
      <c r="BA22" s="13">
        <f t="shared" si="4"/>
        <v>198211.98</v>
      </c>
      <c r="BB22" s="13">
        <f t="shared" si="4"/>
        <v>200789.34</v>
      </c>
      <c r="BC22" s="13">
        <f t="shared" si="4"/>
        <v>210718.13</v>
      </c>
      <c r="BD22" s="13">
        <f t="shared" si="4"/>
        <v>218752.41</v>
      </c>
      <c r="BE22" s="13">
        <f t="shared" si="4"/>
        <v>213926.19</v>
      </c>
      <c r="BF22" s="13">
        <f t="shared" si="4"/>
        <v>220523.33</v>
      </c>
      <c r="BG22" s="13">
        <f t="shared" si="4"/>
        <v>227327.81</v>
      </c>
      <c r="BH22" s="13">
        <f t="shared" si="4"/>
        <v>228989.17</v>
      </c>
      <c r="BI22" s="13">
        <f t="shared" si="4"/>
        <v>229491.79</v>
      </c>
      <c r="BJ22" s="13">
        <f t="shared" si="4"/>
        <v>232085.9</v>
      </c>
      <c r="BK22" s="13">
        <f t="shared" si="4"/>
        <v>234949.59999999998</v>
      </c>
      <c r="BL22" s="13">
        <f t="shared" si="4"/>
        <v>250550.53999999998</v>
      </c>
      <c r="BM22" s="13">
        <f t="shared" si="4"/>
        <v>248952.25999999998</v>
      </c>
      <c r="BN22" s="13">
        <f t="shared" si="4"/>
        <v>260361.20999999996</v>
      </c>
      <c r="BO22" s="13">
        <f t="shared" ref="BO22:CG22" si="5">SUM(BO17:BO21)</f>
        <v>256254.37999999998</v>
      </c>
      <c r="BP22" s="13">
        <f t="shared" si="5"/>
        <v>240676.93</v>
      </c>
      <c r="BQ22" s="13">
        <f t="shared" si="5"/>
        <v>236494.72000000003</v>
      </c>
      <c r="BR22" s="13">
        <f t="shared" si="5"/>
        <v>248796.31</v>
      </c>
      <c r="BS22" s="13">
        <f t="shared" si="5"/>
        <v>256885.66999999995</v>
      </c>
      <c r="BT22" s="13">
        <f t="shared" si="5"/>
        <v>270735.88999999996</v>
      </c>
      <c r="BU22" s="13">
        <f t="shared" si="5"/>
        <v>274196.91000000003</v>
      </c>
      <c r="BV22" s="13">
        <f t="shared" si="5"/>
        <v>285291.07</v>
      </c>
      <c r="BW22" s="13">
        <f t="shared" si="5"/>
        <v>300356.47000000003</v>
      </c>
      <c r="BX22" s="13">
        <f t="shared" si="5"/>
        <v>298854.07</v>
      </c>
      <c r="BY22" s="13">
        <f t="shared" si="5"/>
        <v>297366.71999999997</v>
      </c>
      <c r="BZ22" s="13">
        <f t="shared" si="5"/>
        <v>300793.44</v>
      </c>
      <c r="CA22" s="13">
        <f t="shared" si="5"/>
        <v>312905.62</v>
      </c>
      <c r="CB22" s="13">
        <f t="shared" si="5"/>
        <v>295433.99</v>
      </c>
      <c r="CC22" s="13">
        <f t="shared" si="5"/>
        <v>320423.81</v>
      </c>
      <c r="CD22" s="13">
        <f t="shared" si="5"/>
        <v>340598.60000000003</v>
      </c>
      <c r="CE22" s="13">
        <f t="shared" si="5"/>
        <v>344027.17</v>
      </c>
      <c r="CF22" s="13">
        <f t="shared" si="5"/>
        <v>340004.18</v>
      </c>
      <c r="CG22" s="13">
        <f t="shared" si="5"/>
        <v>345198.39</v>
      </c>
    </row>
    <row r="24" spans="1:85" s="11" customFormat="1" x14ac:dyDescent="0.2">
      <c r="A24" s="9" t="s">
        <v>31</v>
      </c>
    </row>
    <row r="25" spans="1:85" x14ac:dyDescent="0.2">
      <c r="A25" t="s">
        <v>32</v>
      </c>
      <c r="B25" s="1">
        <v>410000</v>
      </c>
      <c r="C25" s="1">
        <v>410000</v>
      </c>
      <c r="D25" s="1">
        <v>410000</v>
      </c>
      <c r="E25" s="1">
        <v>410000</v>
      </c>
      <c r="F25" s="1">
        <v>410000</v>
      </c>
      <c r="G25" s="1">
        <v>410000</v>
      </c>
      <c r="H25" s="1">
        <v>410000</v>
      </c>
      <c r="I25" s="1">
        <v>410000</v>
      </c>
      <c r="J25" s="1">
        <v>410000</v>
      </c>
      <c r="K25" s="1">
        <v>410000</v>
      </c>
      <c r="L25" s="1">
        <v>410000</v>
      </c>
      <c r="M25" s="1">
        <v>410000</v>
      </c>
      <c r="N25" s="1">
        <v>410000</v>
      </c>
      <c r="O25" s="1">
        <v>410000</v>
      </c>
      <c r="P25" s="1">
        <v>410000</v>
      </c>
      <c r="Q25" s="1">
        <v>410000</v>
      </c>
      <c r="R25" s="1">
        <v>410000</v>
      </c>
      <c r="S25" s="1">
        <v>410000</v>
      </c>
      <c r="T25" s="1">
        <v>410000</v>
      </c>
      <c r="U25" s="1">
        <v>410000</v>
      </c>
      <c r="V25" s="1">
        <v>410000</v>
      </c>
      <c r="W25" s="1">
        <v>410000</v>
      </c>
      <c r="X25" s="1">
        <v>410000</v>
      </c>
      <c r="Y25" s="1">
        <v>410000</v>
      </c>
      <c r="Z25" s="1">
        <v>410000</v>
      </c>
      <c r="AA25" s="1">
        <v>410000</v>
      </c>
      <c r="AB25" s="1">
        <v>410000</v>
      </c>
      <c r="AC25" s="1">
        <v>410000</v>
      </c>
      <c r="AD25" s="1">
        <v>410000</v>
      </c>
      <c r="AE25" s="1">
        <v>410000</v>
      </c>
      <c r="AF25" s="1">
        <v>410000</v>
      </c>
      <c r="AG25" s="1">
        <v>410000</v>
      </c>
      <c r="AH25" s="1">
        <v>410000</v>
      </c>
      <c r="AI25" s="1">
        <v>410000</v>
      </c>
      <c r="AJ25" s="1">
        <v>410000</v>
      </c>
      <c r="AK25" s="1">
        <v>410000</v>
      </c>
      <c r="AL25" s="1">
        <v>410000</v>
      </c>
      <c r="AM25" s="1">
        <v>410000</v>
      </c>
      <c r="AN25" s="1">
        <v>410000</v>
      </c>
      <c r="AO25" s="1">
        <v>410000</v>
      </c>
      <c r="AP25" s="1">
        <v>410000</v>
      </c>
      <c r="AQ25" s="1">
        <v>410000</v>
      </c>
      <c r="AR25" s="1">
        <v>410000</v>
      </c>
      <c r="AS25" s="1">
        <v>410000</v>
      </c>
      <c r="AT25" s="1">
        <v>410000</v>
      </c>
      <c r="AU25" s="1">
        <v>410000</v>
      </c>
      <c r="AV25" s="1">
        <v>410000</v>
      </c>
      <c r="AW25" s="1">
        <v>410000</v>
      </c>
      <c r="AX25" s="1">
        <v>410000</v>
      </c>
      <c r="AY25" s="1">
        <v>410000</v>
      </c>
      <c r="AZ25" s="1">
        <v>410000</v>
      </c>
      <c r="BA25" s="1">
        <v>410000</v>
      </c>
      <c r="BB25" s="1">
        <v>410000</v>
      </c>
      <c r="BC25" s="1">
        <v>410000</v>
      </c>
      <c r="BD25" s="1">
        <v>410000</v>
      </c>
      <c r="BE25" s="1">
        <v>410000</v>
      </c>
      <c r="BF25" s="1">
        <v>410000</v>
      </c>
      <c r="BG25" s="1">
        <v>410000</v>
      </c>
      <c r="BH25" s="1">
        <v>410000</v>
      </c>
      <c r="BI25" s="1">
        <v>410000</v>
      </c>
      <c r="BJ25" s="1">
        <v>410000</v>
      </c>
      <c r="BK25" s="1">
        <v>410000</v>
      </c>
      <c r="BL25" s="1">
        <v>410000</v>
      </c>
      <c r="BM25" s="1">
        <v>410000</v>
      </c>
      <c r="BN25" s="1">
        <v>410000</v>
      </c>
      <c r="BO25" s="1">
        <v>410000</v>
      </c>
      <c r="BP25" s="1">
        <v>410000</v>
      </c>
      <c r="BQ25" s="1">
        <v>410000</v>
      </c>
      <c r="BR25" s="1">
        <v>410000</v>
      </c>
      <c r="BS25" s="1">
        <v>410000</v>
      </c>
      <c r="BT25" s="1">
        <v>410000</v>
      </c>
      <c r="BU25" s="1">
        <v>410000</v>
      </c>
      <c r="BV25" s="1">
        <v>410000</v>
      </c>
      <c r="BW25" s="1">
        <v>410000</v>
      </c>
      <c r="BX25" s="1">
        <v>410000</v>
      </c>
      <c r="BY25" s="1">
        <v>410000</v>
      </c>
      <c r="BZ25" s="1">
        <v>410000</v>
      </c>
      <c r="CA25" s="1">
        <v>410000</v>
      </c>
      <c r="CB25" s="1">
        <v>410000</v>
      </c>
      <c r="CC25" s="1">
        <v>410000</v>
      </c>
      <c r="CD25" s="1">
        <v>410000</v>
      </c>
      <c r="CE25" s="1">
        <v>410000</v>
      </c>
      <c r="CF25" s="1">
        <v>410000</v>
      </c>
      <c r="CG25" s="1">
        <v>410000</v>
      </c>
    </row>
    <row r="26" spans="1:85" x14ac:dyDescent="0.2">
      <c r="A26" t="s">
        <v>33</v>
      </c>
      <c r="B26" s="1">
        <v>26000</v>
      </c>
      <c r="C26" s="1">
        <v>25701</v>
      </c>
      <c r="D26" s="1">
        <v>25405.439999999999</v>
      </c>
      <c r="E26" s="1">
        <v>25113.279999999999</v>
      </c>
      <c r="F26" s="1">
        <v>24824.47</v>
      </c>
      <c r="G26" s="1">
        <v>24538.99</v>
      </c>
      <c r="H26" s="1">
        <v>24256.79</v>
      </c>
      <c r="I26" s="1">
        <v>23977.84</v>
      </c>
      <c r="J26" s="1">
        <v>23702.1</v>
      </c>
      <c r="K26" s="1">
        <v>23429.52</v>
      </c>
      <c r="L26" s="1">
        <v>23160.080000000002</v>
      </c>
      <c r="M26" s="1">
        <v>22893.74</v>
      </c>
      <c r="N26" s="1">
        <v>22630.46</v>
      </c>
      <c r="O26" s="1">
        <v>22370.21</v>
      </c>
      <c r="P26" s="1">
        <v>22112.95</v>
      </c>
      <c r="Q26" s="1">
        <v>21858.66</v>
      </c>
      <c r="R26" s="1">
        <v>21607.279999999999</v>
      </c>
      <c r="S26" s="1">
        <v>21358.799999999999</v>
      </c>
      <c r="T26" s="1">
        <v>21113.17</v>
      </c>
      <c r="U26" s="1">
        <v>20870.37</v>
      </c>
      <c r="V26" s="1">
        <v>20630.36</v>
      </c>
      <c r="W26" s="1">
        <v>20393.11</v>
      </c>
      <c r="X26" s="1">
        <v>20158.59</v>
      </c>
      <c r="Y26" s="1">
        <v>19926.77</v>
      </c>
      <c r="Z26" s="1">
        <v>19697.61</v>
      </c>
      <c r="AA26" s="1">
        <v>19471.09</v>
      </c>
      <c r="AB26" s="1">
        <v>19247.169999999998</v>
      </c>
      <c r="AC26" s="1">
        <v>19025.830000000002</v>
      </c>
      <c r="AD26" s="1">
        <v>18807.03</v>
      </c>
      <c r="AE26" s="1">
        <v>18590.75</v>
      </c>
      <c r="AF26" s="1">
        <v>18376.96</v>
      </c>
      <c r="AG26" s="1">
        <v>18165.62</v>
      </c>
      <c r="AH26" s="1">
        <v>17956.72</v>
      </c>
      <c r="AI26" s="1">
        <v>17750.21</v>
      </c>
      <c r="AJ26" s="1">
        <v>17546.09</v>
      </c>
      <c r="AK26" s="1">
        <v>17344.310000000001</v>
      </c>
      <c r="AL26" s="1">
        <v>17144.849999999999</v>
      </c>
      <c r="AM26" s="1">
        <v>16947.68</v>
      </c>
      <c r="AN26" s="1">
        <v>16752.78</v>
      </c>
      <c r="AO26" s="1">
        <v>16560.13</v>
      </c>
      <c r="AP26" s="1">
        <v>16369.68</v>
      </c>
      <c r="AQ26" s="1">
        <v>16181.43</v>
      </c>
      <c r="AR26" s="1">
        <v>15995.35</v>
      </c>
      <c r="AS26" s="1">
        <v>15811.4</v>
      </c>
      <c r="AT26" s="1">
        <v>15629.57</v>
      </c>
      <c r="AU26" s="1">
        <v>15449.83</v>
      </c>
      <c r="AV26" s="1">
        <v>15272.16</v>
      </c>
      <c r="AW26" s="1">
        <v>15096.53</v>
      </c>
      <c r="AX26" s="1">
        <v>14922.92</v>
      </c>
      <c r="AY26" s="1">
        <v>14751.3</v>
      </c>
      <c r="AZ26" s="1">
        <v>14581.66</v>
      </c>
      <c r="BA26" s="1">
        <v>14413.97</v>
      </c>
      <c r="BB26" s="1">
        <v>14248.21</v>
      </c>
      <c r="BC26" s="1">
        <v>14084.36</v>
      </c>
      <c r="BD26" s="1">
        <v>13922.39</v>
      </c>
      <c r="BE26" s="1">
        <v>13762.28</v>
      </c>
      <c r="BF26" s="1">
        <v>13604.01</v>
      </c>
      <c r="BG26" s="1">
        <v>13447.57</v>
      </c>
      <c r="BH26" s="1">
        <v>13292.92</v>
      </c>
      <c r="BI26" s="1">
        <v>13140.05</v>
      </c>
      <c r="BJ26" s="1">
        <v>12988.94</v>
      </c>
      <c r="BK26" s="1">
        <v>12839.57</v>
      </c>
      <c r="BL26" s="1">
        <v>12691.91</v>
      </c>
      <c r="BM26" s="1">
        <v>12545.96</v>
      </c>
      <c r="BN26" s="1">
        <v>12401.68</v>
      </c>
      <c r="BO26" s="1">
        <v>12259.06</v>
      </c>
      <c r="BP26" s="1">
        <v>12118.08</v>
      </c>
      <c r="BQ26" s="1">
        <v>11978.72</v>
      </c>
      <c r="BR26" s="1">
        <v>11840.97</v>
      </c>
      <c r="BS26" s="1">
        <v>11704.8</v>
      </c>
      <c r="BT26" s="1">
        <v>11570.19</v>
      </c>
      <c r="BU26" s="1">
        <v>11437.13</v>
      </c>
      <c r="BV26" s="1">
        <v>11305.61</v>
      </c>
      <c r="BW26" s="1">
        <v>11175.59</v>
      </c>
      <c r="BX26" s="1">
        <v>11047.07</v>
      </c>
      <c r="BY26" s="1">
        <v>10920.03</v>
      </c>
      <c r="BZ26" s="1">
        <v>10794.45</v>
      </c>
      <c r="CA26" s="1">
        <v>10670.31</v>
      </c>
      <c r="CB26" s="1">
        <v>10547.61</v>
      </c>
      <c r="CC26" s="1">
        <v>10426.31</v>
      </c>
      <c r="CD26" s="1">
        <v>10306.41</v>
      </c>
      <c r="CE26" s="1">
        <v>10187.879999999999</v>
      </c>
      <c r="CF26" s="1">
        <v>10070.719999999999</v>
      </c>
      <c r="CG26" s="1">
        <v>9954.91</v>
      </c>
    </row>
    <row r="27" spans="1:85" s="9" customFormat="1" x14ac:dyDescent="0.2">
      <c r="A27" s="9" t="s">
        <v>34</v>
      </c>
      <c r="B27" s="10">
        <f>SUM(B25:B26)</f>
        <v>436000</v>
      </c>
      <c r="C27" s="10">
        <f t="shared" ref="C27:BN27" si="6">SUM(C25:C26)</f>
        <v>435701</v>
      </c>
      <c r="D27" s="10">
        <f t="shared" si="6"/>
        <v>435405.44</v>
      </c>
      <c r="E27" s="10">
        <f t="shared" si="6"/>
        <v>435113.28</v>
      </c>
      <c r="F27" s="10">
        <f t="shared" si="6"/>
        <v>434824.47</v>
      </c>
      <c r="G27" s="10">
        <f t="shared" si="6"/>
        <v>434538.99</v>
      </c>
      <c r="H27" s="10">
        <f t="shared" si="6"/>
        <v>434256.79</v>
      </c>
      <c r="I27" s="10">
        <f t="shared" si="6"/>
        <v>433977.84</v>
      </c>
      <c r="J27" s="10">
        <f t="shared" si="6"/>
        <v>433702.1</v>
      </c>
      <c r="K27" s="10">
        <f t="shared" si="6"/>
        <v>433429.52</v>
      </c>
      <c r="L27" s="10">
        <f t="shared" si="6"/>
        <v>433160.08</v>
      </c>
      <c r="M27" s="10">
        <f t="shared" si="6"/>
        <v>432893.74</v>
      </c>
      <c r="N27" s="10">
        <f t="shared" si="6"/>
        <v>432630.46</v>
      </c>
      <c r="O27" s="10">
        <f t="shared" si="6"/>
        <v>432370.21</v>
      </c>
      <c r="P27" s="10">
        <f t="shared" si="6"/>
        <v>432112.95</v>
      </c>
      <c r="Q27" s="10">
        <f t="shared" si="6"/>
        <v>431858.66</v>
      </c>
      <c r="R27" s="10">
        <f t="shared" si="6"/>
        <v>431607.28</v>
      </c>
      <c r="S27" s="10">
        <f t="shared" si="6"/>
        <v>431358.8</v>
      </c>
      <c r="T27" s="10">
        <f t="shared" si="6"/>
        <v>431113.17</v>
      </c>
      <c r="U27" s="10">
        <f t="shared" si="6"/>
        <v>430870.37</v>
      </c>
      <c r="V27" s="10">
        <f t="shared" si="6"/>
        <v>430630.36</v>
      </c>
      <c r="W27" s="10">
        <f t="shared" si="6"/>
        <v>430393.11</v>
      </c>
      <c r="X27" s="10">
        <f t="shared" si="6"/>
        <v>430158.59</v>
      </c>
      <c r="Y27" s="10">
        <f t="shared" si="6"/>
        <v>429926.77</v>
      </c>
      <c r="Z27" s="10">
        <f t="shared" si="6"/>
        <v>429697.61</v>
      </c>
      <c r="AA27" s="10">
        <f t="shared" si="6"/>
        <v>429471.09</v>
      </c>
      <c r="AB27" s="10">
        <f t="shared" si="6"/>
        <v>429247.17</v>
      </c>
      <c r="AC27" s="10">
        <f t="shared" si="6"/>
        <v>429025.83</v>
      </c>
      <c r="AD27" s="10">
        <f t="shared" si="6"/>
        <v>428807.03</v>
      </c>
      <c r="AE27" s="10">
        <f t="shared" si="6"/>
        <v>428590.75</v>
      </c>
      <c r="AF27" s="10">
        <f t="shared" si="6"/>
        <v>428376.96</v>
      </c>
      <c r="AG27" s="10">
        <f t="shared" si="6"/>
        <v>428165.62</v>
      </c>
      <c r="AH27" s="10">
        <f t="shared" si="6"/>
        <v>427956.72</v>
      </c>
      <c r="AI27" s="10">
        <f t="shared" si="6"/>
        <v>427750.21</v>
      </c>
      <c r="AJ27" s="10">
        <f t="shared" si="6"/>
        <v>427546.09</v>
      </c>
      <c r="AK27" s="10">
        <f t="shared" si="6"/>
        <v>427344.31</v>
      </c>
      <c r="AL27" s="10">
        <f t="shared" si="6"/>
        <v>427144.85</v>
      </c>
      <c r="AM27" s="10">
        <f t="shared" si="6"/>
        <v>426947.68</v>
      </c>
      <c r="AN27" s="10">
        <f t="shared" si="6"/>
        <v>426752.78</v>
      </c>
      <c r="AO27" s="10">
        <f t="shared" si="6"/>
        <v>426560.13</v>
      </c>
      <c r="AP27" s="10">
        <f t="shared" si="6"/>
        <v>426369.68</v>
      </c>
      <c r="AQ27" s="10">
        <f t="shared" si="6"/>
        <v>426181.43</v>
      </c>
      <c r="AR27" s="10">
        <f t="shared" si="6"/>
        <v>425995.35</v>
      </c>
      <c r="AS27" s="10">
        <f t="shared" si="6"/>
        <v>425811.4</v>
      </c>
      <c r="AT27" s="10">
        <f t="shared" si="6"/>
        <v>425629.57</v>
      </c>
      <c r="AU27" s="10">
        <f t="shared" si="6"/>
        <v>425449.83</v>
      </c>
      <c r="AV27" s="10">
        <f t="shared" si="6"/>
        <v>425272.16</v>
      </c>
      <c r="AW27" s="10">
        <f t="shared" si="6"/>
        <v>425096.53</v>
      </c>
      <c r="AX27" s="10">
        <f t="shared" si="6"/>
        <v>424922.92</v>
      </c>
      <c r="AY27" s="10">
        <f t="shared" si="6"/>
        <v>424751.3</v>
      </c>
      <c r="AZ27" s="10">
        <f t="shared" si="6"/>
        <v>424581.66</v>
      </c>
      <c r="BA27" s="10">
        <f t="shared" si="6"/>
        <v>424413.97</v>
      </c>
      <c r="BB27" s="10">
        <f t="shared" si="6"/>
        <v>424248.21</v>
      </c>
      <c r="BC27" s="10">
        <f t="shared" si="6"/>
        <v>424084.36</v>
      </c>
      <c r="BD27" s="10">
        <f t="shared" si="6"/>
        <v>423922.39</v>
      </c>
      <c r="BE27" s="10">
        <f t="shared" si="6"/>
        <v>423762.28</v>
      </c>
      <c r="BF27" s="10">
        <f t="shared" si="6"/>
        <v>423604.01</v>
      </c>
      <c r="BG27" s="10">
        <f t="shared" si="6"/>
        <v>423447.57</v>
      </c>
      <c r="BH27" s="10">
        <f t="shared" si="6"/>
        <v>423292.92</v>
      </c>
      <c r="BI27" s="10">
        <f t="shared" si="6"/>
        <v>423140.05</v>
      </c>
      <c r="BJ27" s="10">
        <f t="shared" si="6"/>
        <v>422988.94</v>
      </c>
      <c r="BK27" s="10">
        <f t="shared" si="6"/>
        <v>422839.57</v>
      </c>
      <c r="BL27" s="10">
        <f t="shared" si="6"/>
        <v>422691.91</v>
      </c>
      <c r="BM27" s="10">
        <f t="shared" si="6"/>
        <v>422545.96</v>
      </c>
      <c r="BN27" s="10">
        <f t="shared" si="6"/>
        <v>422401.68</v>
      </c>
      <c r="BO27" s="10">
        <f t="shared" ref="BO27:CG27" si="7">SUM(BO25:BO26)</f>
        <v>422259.06</v>
      </c>
      <c r="BP27" s="10">
        <f t="shared" si="7"/>
        <v>422118.08</v>
      </c>
      <c r="BQ27" s="10">
        <f t="shared" si="7"/>
        <v>421978.72</v>
      </c>
      <c r="BR27" s="10">
        <f t="shared" si="7"/>
        <v>421840.97</v>
      </c>
      <c r="BS27" s="10">
        <f t="shared" si="7"/>
        <v>421704.8</v>
      </c>
      <c r="BT27" s="10">
        <f t="shared" si="7"/>
        <v>421570.19</v>
      </c>
      <c r="BU27" s="10">
        <f t="shared" si="7"/>
        <v>421437.13</v>
      </c>
      <c r="BV27" s="10">
        <f t="shared" si="7"/>
        <v>421305.61</v>
      </c>
      <c r="BW27" s="10">
        <f t="shared" si="7"/>
        <v>421175.59</v>
      </c>
      <c r="BX27" s="10">
        <f t="shared" si="7"/>
        <v>421047.07</v>
      </c>
      <c r="BY27" s="10">
        <f t="shared" si="7"/>
        <v>420920.03</v>
      </c>
      <c r="BZ27" s="10">
        <f t="shared" si="7"/>
        <v>420794.45</v>
      </c>
      <c r="CA27" s="10">
        <f t="shared" si="7"/>
        <v>420670.31</v>
      </c>
      <c r="CB27" s="10">
        <f t="shared" si="7"/>
        <v>420547.61</v>
      </c>
      <c r="CC27" s="10">
        <f t="shared" si="7"/>
        <v>420426.31</v>
      </c>
      <c r="CD27" s="10">
        <f t="shared" si="7"/>
        <v>420306.41</v>
      </c>
      <c r="CE27" s="10">
        <f t="shared" si="7"/>
        <v>420187.88</v>
      </c>
      <c r="CF27" s="10">
        <f t="shared" si="7"/>
        <v>420070.72</v>
      </c>
      <c r="CG27" s="10">
        <f t="shared" si="7"/>
        <v>419954.91</v>
      </c>
    </row>
    <row r="29" spans="1:85" s="8" customFormat="1" x14ac:dyDescent="0.2">
      <c r="A29" s="2" t="s">
        <v>35</v>
      </c>
    </row>
    <row r="30" spans="1:85" x14ac:dyDescent="0.2">
      <c r="A30" t="s">
        <v>36</v>
      </c>
      <c r="B30" s="1">
        <v>11793.26</v>
      </c>
      <c r="C30" s="1">
        <v>12303.24</v>
      </c>
      <c r="D30" s="1">
        <v>12692.18</v>
      </c>
      <c r="E30" s="1">
        <v>13068.84</v>
      </c>
      <c r="F30" s="1">
        <v>13414.02</v>
      </c>
      <c r="G30" s="1">
        <v>13497.72</v>
      </c>
      <c r="H30" s="1">
        <v>13408.06</v>
      </c>
      <c r="I30" s="1">
        <v>14230.88</v>
      </c>
      <c r="J30" s="1">
        <v>14895.84</v>
      </c>
      <c r="K30" s="1">
        <v>15483.47</v>
      </c>
      <c r="L30" s="1">
        <v>15774.53</v>
      </c>
      <c r="M30" s="1">
        <v>16415.64</v>
      </c>
      <c r="N30" s="1">
        <v>16837.45</v>
      </c>
      <c r="O30" s="1">
        <v>17012.41</v>
      </c>
      <c r="P30" s="1">
        <v>17950.21</v>
      </c>
      <c r="Q30" s="1">
        <v>18463.91</v>
      </c>
      <c r="R30" s="1">
        <v>18765.330000000002</v>
      </c>
      <c r="S30" s="1">
        <v>19217.240000000002</v>
      </c>
      <c r="T30" s="1">
        <v>19866.13</v>
      </c>
      <c r="U30" s="1">
        <v>20478.05</v>
      </c>
      <c r="V30" s="1">
        <v>20838.89</v>
      </c>
      <c r="W30" s="1">
        <v>21490.87</v>
      </c>
      <c r="X30" s="1">
        <v>21858.13</v>
      </c>
      <c r="Y30" s="1">
        <v>22526.74</v>
      </c>
      <c r="Z30" s="1">
        <v>22777.32</v>
      </c>
      <c r="AA30" s="1">
        <v>23356.67</v>
      </c>
      <c r="AB30" s="1">
        <v>23797.23</v>
      </c>
      <c r="AC30" s="1">
        <v>24427.37</v>
      </c>
      <c r="AD30" s="1">
        <v>24435.99</v>
      </c>
      <c r="AE30" s="1">
        <v>24586.53</v>
      </c>
      <c r="AF30" s="1">
        <v>25345.35</v>
      </c>
      <c r="AG30" s="1">
        <v>25402.47</v>
      </c>
      <c r="AH30" s="1">
        <v>25797.61</v>
      </c>
      <c r="AI30" s="1">
        <v>25746.53</v>
      </c>
      <c r="AJ30" s="1">
        <v>26725.4</v>
      </c>
      <c r="AK30" s="1">
        <v>27171.72</v>
      </c>
      <c r="AL30" s="1">
        <v>27103.66</v>
      </c>
      <c r="AM30" s="1">
        <v>27629.19</v>
      </c>
      <c r="AN30" s="1">
        <v>28340.86</v>
      </c>
      <c r="AO30" s="1">
        <v>28334.48</v>
      </c>
      <c r="AP30" s="1">
        <v>29188.42</v>
      </c>
      <c r="AQ30" s="1">
        <v>29432.9</v>
      </c>
      <c r="AR30" s="1">
        <v>29914.080000000002</v>
      </c>
      <c r="AS30" s="1">
        <v>30360.09</v>
      </c>
      <c r="AT30" s="1">
        <v>30729.31</v>
      </c>
      <c r="AU30" s="1">
        <v>31465.759999999998</v>
      </c>
      <c r="AV30" s="1">
        <v>32089.1</v>
      </c>
      <c r="AW30" s="1">
        <v>32313.09</v>
      </c>
      <c r="AX30" s="1">
        <v>32608.11</v>
      </c>
      <c r="AY30" s="1">
        <v>32741.14</v>
      </c>
      <c r="AZ30" s="1">
        <v>33684.019999999997</v>
      </c>
      <c r="BA30" s="1">
        <v>34566.019999999997</v>
      </c>
      <c r="BB30" s="1">
        <v>35044.67</v>
      </c>
      <c r="BC30" s="1">
        <v>35958.730000000003</v>
      </c>
      <c r="BD30" s="1">
        <v>36758.339999999997</v>
      </c>
      <c r="BE30" s="1">
        <v>36802.99</v>
      </c>
      <c r="BF30" s="1">
        <v>37511.449999999997</v>
      </c>
      <c r="BG30" s="1">
        <v>38232.019999999997</v>
      </c>
      <c r="BH30" s="1">
        <v>38652.160000000003</v>
      </c>
      <c r="BI30" s="1">
        <v>39015.1</v>
      </c>
      <c r="BJ30" s="1">
        <v>39496.53</v>
      </c>
      <c r="BK30" s="1">
        <v>39985.85</v>
      </c>
      <c r="BL30" s="1">
        <v>41233.01</v>
      </c>
      <c r="BM30" s="1">
        <v>41462.78</v>
      </c>
      <c r="BN30" s="1">
        <v>42443.07</v>
      </c>
      <c r="BO30" s="1">
        <v>42545.67</v>
      </c>
      <c r="BP30" s="1">
        <v>41989.87</v>
      </c>
      <c r="BQ30" s="1">
        <v>42068.3</v>
      </c>
      <c r="BR30" s="1">
        <v>43137.68</v>
      </c>
      <c r="BS30" s="1">
        <v>43936.54</v>
      </c>
      <c r="BT30" s="1">
        <v>45065.120000000003</v>
      </c>
      <c r="BU30" s="1">
        <v>45588.82</v>
      </c>
      <c r="BV30" s="1">
        <v>46542.3</v>
      </c>
      <c r="BW30" s="1">
        <v>47702.17</v>
      </c>
      <c r="BX30" s="1">
        <v>47963.839999999997</v>
      </c>
      <c r="BY30" s="1">
        <v>48207.6</v>
      </c>
      <c r="BZ30" s="1">
        <v>48727.61</v>
      </c>
      <c r="CA30" s="1">
        <v>49723.8</v>
      </c>
      <c r="CB30" s="1">
        <v>49113.14</v>
      </c>
      <c r="CC30" s="1">
        <v>50851.53</v>
      </c>
      <c r="CD30" s="1">
        <v>52266.22</v>
      </c>
      <c r="CE30" s="1">
        <v>52773.4</v>
      </c>
      <c r="CF30" s="1">
        <v>52887.83</v>
      </c>
      <c r="CG30" s="1">
        <v>53496.59</v>
      </c>
    </row>
    <row r="31" spans="1:85" x14ac:dyDescent="0.2">
      <c r="A31" t="s">
        <v>37</v>
      </c>
      <c r="B31" s="1">
        <v>6312.88</v>
      </c>
      <c r="C31" s="1">
        <v>6567.05</v>
      </c>
      <c r="D31" s="1">
        <v>6763.93</v>
      </c>
      <c r="E31" s="1">
        <v>6970.48</v>
      </c>
      <c r="F31" s="1">
        <v>7154.03</v>
      </c>
      <c r="G31" s="1">
        <v>7220.52</v>
      </c>
      <c r="H31" s="1">
        <v>7209.19</v>
      </c>
      <c r="I31" s="1">
        <v>7604.51</v>
      </c>
      <c r="J31" s="1">
        <v>7942.58</v>
      </c>
      <c r="K31" s="1">
        <v>8236.93</v>
      </c>
      <c r="L31" s="1">
        <v>8387.7099999999991</v>
      </c>
      <c r="M31" s="1">
        <v>8716.42</v>
      </c>
      <c r="N31" s="1">
        <v>8929.7999999999993</v>
      </c>
      <c r="O31" s="1">
        <v>9038.7199999999993</v>
      </c>
      <c r="P31" s="1">
        <v>9489.7199999999993</v>
      </c>
      <c r="Q31" s="1">
        <v>9750.68</v>
      </c>
      <c r="R31" s="1">
        <v>9925.58</v>
      </c>
      <c r="S31" s="1">
        <v>10155.450000000001</v>
      </c>
      <c r="T31" s="1">
        <v>10481.67</v>
      </c>
      <c r="U31" s="1">
        <v>10782.43</v>
      </c>
      <c r="V31" s="1">
        <v>10973.55</v>
      </c>
      <c r="W31" s="1">
        <v>11290.55</v>
      </c>
      <c r="X31" s="1">
        <v>11490.62</v>
      </c>
      <c r="Y31" s="1">
        <v>11823.18</v>
      </c>
      <c r="Z31" s="1">
        <v>11962.26</v>
      </c>
      <c r="AA31" s="1">
        <v>12249.5</v>
      </c>
      <c r="AB31" s="1">
        <v>12477.81</v>
      </c>
      <c r="AC31" s="1">
        <v>12796.64</v>
      </c>
      <c r="AD31" s="1">
        <v>12835.97</v>
      </c>
      <c r="AE31" s="1">
        <v>12932.91</v>
      </c>
      <c r="AF31" s="1">
        <v>13305.9</v>
      </c>
      <c r="AG31" s="1">
        <v>13353.95</v>
      </c>
      <c r="AH31" s="1">
        <v>13558.6</v>
      </c>
      <c r="AI31" s="1">
        <v>13571.15</v>
      </c>
      <c r="AJ31" s="1">
        <v>14042.72</v>
      </c>
      <c r="AK31" s="1">
        <v>14271.36</v>
      </c>
      <c r="AL31" s="1">
        <v>14265.87</v>
      </c>
      <c r="AM31" s="1">
        <v>14533.27</v>
      </c>
      <c r="AN31" s="1">
        <v>14889.99</v>
      </c>
      <c r="AO31" s="1">
        <v>14909.43</v>
      </c>
      <c r="AP31" s="1">
        <v>15321.1</v>
      </c>
      <c r="AQ31" s="1">
        <v>15460.35</v>
      </c>
      <c r="AR31" s="1">
        <v>15701.46</v>
      </c>
      <c r="AS31" s="1">
        <v>15939</v>
      </c>
      <c r="AT31" s="1">
        <v>16136.3</v>
      </c>
      <c r="AU31" s="1">
        <v>16494.22</v>
      </c>
      <c r="AV31" s="1">
        <v>16802.57</v>
      </c>
      <c r="AW31" s="1">
        <v>16939.240000000002</v>
      </c>
      <c r="AX31" s="1">
        <v>17103.09</v>
      </c>
      <c r="AY31" s="1">
        <v>17191.189999999999</v>
      </c>
      <c r="AZ31" s="1">
        <v>17646.38</v>
      </c>
      <c r="BA31" s="1">
        <v>18076.34</v>
      </c>
      <c r="BB31" s="1">
        <v>18322.54</v>
      </c>
      <c r="BC31" s="1">
        <v>18765.61</v>
      </c>
      <c r="BD31" s="1">
        <v>19159.41</v>
      </c>
      <c r="BE31" s="1">
        <v>19208</v>
      </c>
      <c r="BF31" s="1">
        <v>19563.3</v>
      </c>
      <c r="BG31" s="1">
        <v>19912.66</v>
      </c>
      <c r="BH31" s="1">
        <v>20138.61</v>
      </c>
      <c r="BI31" s="1">
        <v>20333.900000000001</v>
      </c>
      <c r="BJ31" s="1">
        <v>20576.23</v>
      </c>
      <c r="BK31" s="1">
        <v>20827.95</v>
      </c>
      <c r="BL31" s="1">
        <v>21411.81</v>
      </c>
      <c r="BM31" s="1">
        <v>21550.21</v>
      </c>
      <c r="BN31" s="1">
        <v>22014.54</v>
      </c>
      <c r="BO31" s="1">
        <v>22090.44</v>
      </c>
      <c r="BP31" s="1">
        <v>21878</v>
      </c>
      <c r="BQ31" s="1">
        <v>21944.19</v>
      </c>
      <c r="BR31" s="1">
        <v>22456.91</v>
      </c>
      <c r="BS31" s="1">
        <v>22852.37</v>
      </c>
      <c r="BT31" s="1">
        <v>23389.77</v>
      </c>
      <c r="BU31" s="1">
        <v>23659.37</v>
      </c>
      <c r="BV31" s="1">
        <v>24122.080000000002</v>
      </c>
      <c r="BW31" s="1">
        <v>24667.57</v>
      </c>
      <c r="BX31" s="1">
        <v>24810.2</v>
      </c>
      <c r="BY31" s="1">
        <v>24954.27</v>
      </c>
      <c r="BZ31" s="1">
        <v>25222.1</v>
      </c>
      <c r="CA31" s="1">
        <v>25692.51</v>
      </c>
      <c r="CB31" s="1">
        <v>25457.66</v>
      </c>
      <c r="CC31" s="1">
        <v>26264.04</v>
      </c>
      <c r="CD31" s="1">
        <v>26921.14</v>
      </c>
      <c r="CE31" s="1">
        <v>27179.360000000001</v>
      </c>
      <c r="CF31" s="1">
        <v>27261.41</v>
      </c>
      <c r="CG31" s="1">
        <v>27563.21</v>
      </c>
    </row>
    <row r="32" spans="1:85" s="2" customFormat="1" x14ac:dyDescent="0.2">
      <c r="A32" s="2" t="s">
        <v>38</v>
      </c>
      <c r="B32" s="3">
        <f>SUM(B30:B31)</f>
        <v>18106.14</v>
      </c>
      <c r="C32" s="3">
        <f t="shared" ref="C32:BN32" si="8">SUM(C30:C31)</f>
        <v>18870.29</v>
      </c>
      <c r="D32" s="3">
        <f t="shared" si="8"/>
        <v>19456.11</v>
      </c>
      <c r="E32" s="3">
        <f t="shared" si="8"/>
        <v>20039.32</v>
      </c>
      <c r="F32" s="3">
        <f t="shared" si="8"/>
        <v>20568.05</v>
      </c>
      <c r="G32" s="3">
        <f t="shared" si="8"/>
        <v>20718.239999999998</v>
      </c>
      <c r="H32" s="3">
        <f t="shared" si="8"/>
        <v>20617.25</v>
      </c>
      <c r="I32" s="3">
        <f t="shared" si="8"/>
        <v>21835.39</v>
      </c>
      <c r="J32" s="3">
        <f t="shared" si="8"/>
        <v>22838.42</v>
      </c>
      <c r="K32" s="3">
        <f t="shared" si="8"/>
        <v>23720.400000000001</v>
      </c>
      <c r="L32" s="3">
        <f t="shared" si="8"/>
        <v>24162.239999999998</v>
      </c>
      <c r="M32" s="3">
        <f t="shared" si="8"/>
        <v>25132.059999999998</v>
      </c>
      <c r="N32" s="3">
        <f t="shared" si="8"/>
        <v>25767.25</v>
      </c>
      <c r="O32" s="3">
        <f t="shared" si="8"/>
        <v>26051.129999999997</v>
      </c>
      <c r="P32" s="3">
        <f t="shared" si="8"/>
        <v>27439.93</v>
      </c>
      <c r="Q32" s="3">
        <f t="shared" si="8"/>
        <v>28214.59</v>
      </c>
      <c r="R32" s="3">
        <f t="shared" si="8"/>
        <v>28690.910000000003</v>
      </c>
      <c r="S32" s="3">
        <f t="shared" si="8"/>
        <v>29372.690000000002</v>
      </c>
      <c r="T32" s="3">
        <f t="shared" si="8"/>
        <v>30347.800000000003</v>
      </c>
      <c r="U32" s="3">
        <f t="shared" si="8"/>
        <v>31260.48</v>
      </c>
      <c r="V32" s="3">
        <f t="shared" si="8"/>
        <v>31812.44</v>
      </c>
      <c r="W32" s="3">
        <f t="shared" si="8"/>
        <v>32781.42</v>
      </c>
      <c r="X32" s="3">
        <f t="shared" si="8"/>
        <v>33348.75</v>
      </c>
      <c r="Y32" s="3">
        <f t="shared" si="8"/>
        <v>34349.919999999998</v>
      </c>
      <c r="Z32" s="3">
        <f t="shared" si="8"/>
        <v>34739.58</v>
      </c>
      <c r="AA32" s="3">
        <f t="shared" si="8"/>
        <v>35606.17</v>
      </c>
      <c r="AB32" s="3">
        <f t="shared" si="8"/>
        <v>36275.040000000001</v>
      </c>
      <c r="AC32" s="3">
        <f t="shared" si="8"/>
        <v>37224.009999999995</v>
      </c>
      <c r="AD32" s="3">
        <f t="shared" si="8"/>
        <v>37271.96</v>
      </c>
      <c r="AE32" s="3">
        <f t="shared" si="8"/>
        <v>37519.440000000002</v>
      </c>
      <c r="AF32" s="3">
        <f t="shared" si="8"/>
        <v>38651.25</v>
      </c>
      <c r="AG32" s="3">
        <f t="shared" si="8"/>
        <v>38756.42</v>
      </c>
      <c r="AH32" s="3">
        <f t="shared" si="8"/>
        <v>39356.21</v>
      </c>
      <c r="AI32" s="3">
        <f t="shared" si="8"/>
        <v>39317.68</v>
      </c>
      <c r="AJ32" s="3">
        <f t="shared" si="8"/>
        <v>40768.120000000003</v>
      </c>
      <c r="AK32" s="3">
        <f t="shared" si="8"/>
        <v>41443.08</v>
      </c>
      <c r="AL32" s="3">
        <f t="shared" si="8"/>
        <v>41369.53</v>
      </c>
      <c r="AM32" s="3">
        <f t="shared" si="8"/>
        <v>42162.46</v>
      </c>
      <c r="AN32" s="3">
        <f t="shared" si="8"/>
        <v>43230.85</v>
      </c>
      <c r="AO32" s="3">
        <f t="shared" si="8"/>
        <v>43243.91</v>
      </c>
      <c r="AP32" s="3">
        <f t="shared" si="8"/>
        <v>44509.52</v>
      </c>
      <c r="AQ32" s="3">
        <f t="shared" si="8"/>
        <v>44893.25</v>
      </c>
      <c r="AR32" s="3">
        <f t="shared" si="8"/>
        <v>45615.54</v>
      </c>
      <c r="AS32" s="3">
        <f t="shared" si="8"/>
        <v>46299.09</v>
      </c>
      <c r="AT32" s="3">
        <f t="shared" si="8"/>
        <v>46865.61</v>
      </c>
      <c r="AU32" s="3">
        <f t="shared" si="8"/>
        <v>47959.979999999996</v>
      </c>
      <c r="AV32" s="3">
        <f t="shared" si="8"/>
        <v>48891.67</v>
      </c>
      <c r="AW32" s="3">
        <f t="shared" si="8"/>
        <v>49252.33</v>
      </c>
      <c r="AX32" s="3">
        <f t="shared" si="8"/>
        <v>49711.199999999997</v>
      </c>
      <c r="AY32" s="3">
        <f t="shared" si="8"/>
        <v>49932.33</v>
      </c>
      <c r="AZ32" s="3">
        <f t="shared" si="8"/>
        <v>51330.399999999994</v>
      </c>
      <c r="BA32" s="3">
        <f t="shared" si="8"/>
        <v>52642.36</v>
      </c>
      <c r="BB32" s="3">
        <f t="shared" si="8"/>
        <v>53367.21</v>
      </c>
      <c r="BC32" s="3">
        <f t="shared" si="8"/>
        <v>54724.340000000004</v>
      </c>
      <c r="BD32" s="3">
        <f t="shared" si="8"/>
        <v>55917.75</v>
      </c>
      <c r="BE32" s="3">
        <f t="shared" si="8"/>
        <v>56010.99</v>
      </c>
      <c r="BF32" s="3">
        <f t="shared" si="8"/>
        <v>57074.75</v>
      </c>
      <c r="BG32" s="3">
        <f t="shared" si="8"/>
        <v>58144.679999999993</v>
      </c>
      <c r="BH32" s="3">
        <f t="shared" si="8"/>
        <v>58790.770000000004</v>
      </c>
      <c r="BI32" s="3">
        <f t="shared" si="8"/>
        <v>59349</v>
      </c>
      <c r="BJ32" s="3">
        <f t="shared" si="8"/>
        <v>60072.759999999995</v>
      </c>
      <c r="BK32" s="3">
        <f t="shared" si="8"/>
        <v>60813.8</v>
      </c>
      <c r="BL32" s="3">
        <f t="shared" si="8"/>
        <v>62644.820000000007</v>
      </c>
      <c r="BM32" s="3">
        <f t="shared" si="8"/>
        <v>63012.99</v>
      </c>
      <c r="BN32" s="3">
        <f t="shared" si="8"/>
        <v>64457.61</v>
      </c>
      <c r="BO32" s="3">
        <f t="shared" ref="BO32:CG32" si="9">SUM(BO30:BO31)</f>
        <v>64636.11</v>
      </c>
      <c r="BP32" s="3">
        <f t="shared" si="9"/>
        <v>63867.87</v>
      </c>
      <c r="BQ32" s="3">
        <f t="shared" si="9"/>
        <v>64012.490000000005</v>
      </c>
      <c r="BR32" s="3">
        <f t="shared" si="9"/>
        <v>65594.59</v>
      </c>
      <c r="BS32" s="3">
        <f t="shared" si="9"/>
        <v>66788.91</v>
      </c>
      <c r="BT32" s="3">
        <f t="shared" si="9"/>
        <v>68454.89</v>
      </c>
      <c r="BU32" s="3">
        <f t="shared" si="9"/>
        <v>69248.19</v>
      </c>
      <c r="BV32" s="3">
        <f t="shared" si="9"/>
        <v>70664.38</v>
      </c>
      <c r="BW32" s="3">
        <f t="shared" si="9"/>
        <v>72369.739999999991</v>
      </c>
      <c r="BX32" s="3">
        <f t="shared" si="9"/>
        <v>72774.039999999994</v>
      </c>
      <c r="BY32" s="3">
        <f t="shared" si="9"/>
        <v>73161.87</v>
      </c>
      <c r="BZ32" s="3">
        <f t="shared" si="9"/>
        <v>73949.709999999992</v>
      </c>
      <c r="CA32" s="3">
        <f t="shared" si="9"/>
        <v>75416.31</v>
      </c>
      <c r="CB32" s="3">
        <f t="shared" si="9"/>
        <v>74570.8</v>
      </c>
      <c r="CC32" s="3">
        <f t="shared" si="9"/>
        <v>77115.570000000007</v>
      </c>
      <c r="CD32" s="3">
        <f t="shared" si="9"/>
        <v>79187.360000000001</v>
      </c>
      <c r="CE32" s="3">
        <f t="shared" si="9"/>
        <v>79952.760000000009</v>
      </c>
      <c r="CF32" s="3">
        <f t="shared" si="9"/>
        <v>80149.240000000005</v>
      </c>
      <c r="CG32" s="3">
        <f t="shared" si="9"/>
        <v>81059.799999999988</v>
      </c>
    </row>
    <row r="33" spans="1:85" s="23" customFormat="1" ht="17" thickBot="1" x14ac:dyDescent="0.25"/>
    <row r="34" spans="1:85" s="19" customFormat="1" ht="17" thickTop="1" x14ac:dyDescent="0.2">
      <c r="A34" s="19" t="s">
        <v>39</v>
      </c>
      <c r="B34" s="20">
        <f>SUM(B8,B14,B22,B27,B32)</f>
        <v>485511.31</v>
      </c>
      <c r="C34" s="20">
        <f t="shared" ref="C34:BN34" si="10">SUM(C8,C14,C22,C27,C32)</f>
        <v>488936.95</v>
      </c>
      <c r="D34" s="20">
        <f t="shared" si="10"/>
        <v>490248.26</v>
      </c>
      <c r="E34" s="20">
        <f t="shared" si="10"/>
        <v>492008.98000000004</v>
      </c>
      <c r="F34" s="20">
        <f t="shared" si="10"/>
        <v>494886.1</v>
      </c>
      <c r="G34" s="20">
        <f t="shared" si="10"/>
        <v>493864.89999999997</v>
      </c>
      <c r="H34" s="20">
        <f t="shared" si="10"/>
        <v>493042.95999999996</v>
      </c>
      <c r="I34" s="20">
        <f t="shared" si="10"/>
        <v>496144.17000000004</v>
      </c>
      <c r="J34" s="20">
        <f t="shared" si="10"/>
        <v>499010.04999999993</v>
      </c>
      <c r="K34" s="20">
        <f t="shared" si="10"/>
        <v>502442.96</v>
      </c>
      <c r="L34" s="20">
        <f t="shared" si="10"/>
        <v>502350.41000000003</v>
      </c>
      <c r="M34" s="20">
        <f t="shared" si="10"/>
        <v>505464.58999999997</v>
      </c>
      <c r="N34" s="20">
        <f t="shared" si="10"/>
        <v>507431.38</v>
      </c>
      <c r="O34" s="20">
        <f t="shared" si="10"/>
        <v>507682.07</v>
      </c>
      <c r="P34" s="20">
        <f t="shared" si="10"/>
        <v>512717.04</v>
      </c>
      <c r="Q34" s="20">
        <f t="shared" si="10"/>
        <v>515727.7</v>
      </c>
      <c r="R34" s="20">
        <f t="shared" si="10"/>
        <v>518878.71000000008</v>
      </c>
      <c r="S34" s="20">
        <f t="shared" si="10"/>
        <v>520094.19</v>
      </c>
      <c r="T34" s="20">
        <f t="shared" si="10"/>
        <v>524874.96</v>
      </c>
      <c r="U34" s="20">
        <f t="shared" si="10"/>
        <v>527259.47</v>
      </c>
      <c r="V34" s="20">
        <f t="shared" si="10"/>
        <v>528668.69999999995</v>
      </c>
      <c r="W34" s="20">
        <f t="shared" si="10"/>
        <v>532360.44999999995</v>
      </c>
      <c r="X34" s="20">
        <f t="shared" si="10"/>
        <v>533417.09000000008</v>
      </c>
      <c r="Y34" s="20">
        <f t="shared" si="10"/>
        <v>538254.53</v>
      </c>
      <c r="Z34" s="20">
        <f t="shared" si="10"/>
        <v>538233.32999999996</v>
      </c>
      <c r="AA34" s="20">
        <f t="shared" si="10"/>
        <v>541114.89</v>
      </c>
      <c r="AB34" s="20">
        <f t="shared" si="10"/>
        <v>543853.04</v>
      </c>
      <c r="AC34" s="20">
        <f t="shared" si="10"/>
        <v>547458.94000000006</v>
      </c>
      <c r="AD34" s="20">
        <f t="shared" si="10"/>
        <v>546873.94000000006</v>
      </c>
      <c r="AE34" s="20">
        <f t="shared" si="10"/>
        <v>544161.97</v>
      </c>
      <c r="AF34" s="20">
        <f t="shared" si="10"/>
        <v>548432.64000000001</v>
      </c>
      <c r="AG34" s="20">
        <f t="shared" si="10"/>
        <v>547713.83000000007</v>
      </c>
      <c r="AH34" s="20">
        <f t="shared" si="10"/>
        <v>548700.71</v>
      </c>
      <c r="AI34" s="20">
        <f t="shared" si="10"/>
        <v>546318.07000000007</v>
      </c>
      <c r="AJ34" s="20">
        <f t="shared" si="10"/>
        <v>552193.41</v>
      </c>
      <c r="AK34" s="20">
        <f t="shared" si="10"/>
        <v>554286.96</v>
      </c>
      <c r="AL34" s="20">
        <f t="shared" si="10"/>
        <v>553433.62</v>
      </c>
      <c r="AM34" s="20">
        <f t="shared" si="10"/>
        <v>555502.22</v>
      </c>
      <c r="AN34" s="20">
        <f t="shared" si="10"/>
        <v>559605.62</v>
      </c>
      <c r="AO34" s="20">
        <f t="shared" si="10"/>
        <v>559304.99</v>
      </c>
      <c r="AP34" s="20">
        <f t="shared" si="10"/>
        <v>666260.57999999996</v>
      </c>
      <c r="AQ34" s="20">
        <f t="shared" si="10"/>
        <v>665350.59</v>
      </c>
      <c r="AR34" s="20">
        <f t="shared" si="10"/>
        <v>667756.22</v>
      </c>
      <c r="AS34" s="20">
        <f t="shared" si="10"/>
        <v>671014.11</v>
      </c>
      <c r="AT34" s="20">
        <f t="shared" si="10"/>
        <v>671856.08</v>
      </c>
      <c r="AU34" s="20">
        <f t="shared" si="10"/>
        <v>680259.56</v>
      </c>
      <c r="AV34" s="20">
        <f t="shared" si="10"/>
        <v>685981.28</v>
      </c>
      <c r="AW34" s="20">
        <f t="shared" si="10"/>
        <v>682988.16</v>
      </c>
      <c r="AX34" s="20">
        <f t="shared" si="10"/>
        <v>684775.28999999992</v>
      </c>
      <c r="AY34" s="20">
        <f t="shared" si="10"/>
        <v>681017.03999999992</v>
      </c>
      <c r="AZ34" s="20">
        <f t="shared" si="10"/>
        <v>692131.28</v>
      </c>
      <c r="BA34" s="20">
        <f t="shared" si="10"/>
        <v>703320.4</v>
      </c>
      <c r="BB34" s="20">
        <f t="shared" si="10"/>
        <v>707034.26</v>
      </c>
      <c r="BC34" s="20">
        <f t="shared" si="10"/>
        <v>719306.65999999992</v>
      </c>
      <c r="BD34" s="20">
        <f t="shared" si="10"/>
        <v>729360.53</v>
      </c>
      <c r="BE34" s="20">
        <f t="shared" si="10"/>
        <v>723814.93</v>
      </c>
      <c r="BF34" s="20">
        <f t="shared" si="10"/>
        <v>731637.81</v>
      </c>
      <c r="BG34" s="20">
        <f t="shared" si="10"/>
        <v>739194.97</v>
      </c>
      <c r="BH34" s="20">
        <f t="shared" si="10"/>
        <v>741720.39</v>
      </c>
      <c r="BI34" s="20">
        <f t="shared" si="10"/>
        <v>743914.49</v>
      </c>
      <c r="BJ34" s="20">
        <f t="shared" si="10"/>
        <v>746915.84000000008</v>
      </c>
      <c r="BK34" s="20">
        <f t="shared" si="10"/>
        <v>747097.5</v>
      </c>
      <c r="BL34" s="20">
        <f t="shared" si="10"/>
        <v>765440.40999999992</v>
      </c>
      <c r="BM34" s="20">
        <f t="shared" si="10"/>
        <v>764428.23</v>
      </c>
      <c r="BN34" s="20">
        <f t="shared" si="10"/>
        <v>777965.41999999993</v>
      </c>
      <c r="BO34" s="20">
        <f t="shared" ref="BO34:CG34" si="11">SUM(BO8,BO14,BO22,BO27,BO32)</f>
        <v>773679.99999999988</v>
      </c>
      <c r="BP34" s="20">
        <f t="shared" si="11"/>
        <v>757523.24</v>
      </c>
      <c r="BQ34" s="20">
        <f t="shared" si="11"/>
        <v>753629.83000000007</v>
      </c>
      <c r="BR34" s="20">
        <f t="shared" si="11"/>
        <v>767973.99999999988</v>
      </c>
      <c r="BS34" s="20">
        <f t="shared" si="11"/>
        <v>777119.16</v>
      </c>
      <c r="BT34" s="20">
        <f t="shared" si="11"/>
        <v>790818.74</v>
      </c>
      <c r="BU34" s="20">
        <f t="shared" si="11"/>
        <v>796406.01</v>
      </c>
      <c r="BV34" s="20">
        <f t="shared" si="11"/>
        <v>809088.11</v>
      </c>
      <c r="BW34" s="20">
        <f t="shared" si="11"/>
        <v>825679.68</v>
      </c>
      <c r="BX34" s="20">
        <f t="shared" si="11"/>
        <v>825770.38000000012</v>
      </c>
      <c r="BY34" s="20">
        <f t="shared" si="11"/>
        <v>823830.29999999993</v>
      </c>
      <c r="BZ34" s="20">
        <f t="shared" si="11"/>
        <v>829935.23</v>
      </c>
      <c r="CA34" s="20">
        <f t="shared" si="11"/>
        <v>845726.41999999993</v>
      </c>
      <c r="CB34" s="20">
        <f t="shared" si="11"/>
        <v>826010.81</v>
      </c>
      <c r="CC34" s="20">
        <f t="shared" si="11"/>
        <v>854646.94</v>
      </c>
      <c r="CD34" s="20">
        <f t="shared" si="11"/>
        <v>876680.30999999994</v>
      </c>
      <c r="CE34" s="20">
        <f t="shared" si="11"/>
        <v>880182.27</v>
      </c>
      <c r="CF34" s="20">
        <f t="shared" si="11"/>
        <v>876068.27</v>
      </c>
      <c r="CG34" s="20">
        <f t="shared" si="11"/>
        <v>883024.38000000012</v>
      </c>
    </row>
    <row r="36" spans="1:85" s="7" customFormat="1" x14ac:dyDescent="0.2">
      <c r="A36" s="5" t="s">
        <v>40</v>
      </c>
    </row>
    <row r="37" spans="1:85" x14ac:dyDescent="0.2">
      <c r="A37" t="s">
        <v>41</v>
      </c>
      <c r="B37" s="1">
        <v>409145.84</v>
      </c>
      <c r="C37" s="1">
        <v>408289.89</v>
      </c>
      <c r="D37" s="1">
        <v>407432.17</v>
      </c>
      <c r="E37" s="1">
        <v>406572.65</v>
      </c>
      <c r="F37" s="1">
        <v>405711.35</v>
      </c>
      <c r="G37" s="1">
        <v>404848.25</v>
      </c>
      <c r="H37" s="1">
        <v>403983.35999999999</v>
      </c>
      <c r="I37" s="1">
        <v>403116.66</v>
      </c>
      <c r="J37" s="1">
        <v>402248.16</v>
      </c>
      <c r="K37" s="1">
        <v>401377.84</v>
      </c>
      <c r="L37" s="1">
        <v>400505.72</v>
      </c>
      <c r="M37" s="1">
        <v>399631.77</v>
      </c>
      <c r="N37" s="1">
        <v>398756.01</v>
      </c>
      <c r="O37" s="1">
        <v>397878.42</v>
      </c>
      <c r="P37" s="1">
        <v>396999</v>
      </c>
      <c r="Q37" s="1">
        <v>396117.76000000001</v>
      </c>
      <c r="R37" s="1">
        <v>395234.67</v>
      </c>
      <c r="S37" s="1">
        <v>394349.75</v>
      </c>
      <c r="T37" s="1">
        <v>393462.98</v>
      </c>
      <c r="U37" s="1">
        <v>392574.36</v>
      </c>
      <c r="V37" s="1">
        <v>391683.9</v>
      </c>
      <c r="W37" s="1">
        <v>390791.57</v>
      </c>
      <c r="X37" s="1">
        <v>389897.39</v>
      </c>
      <c r="Y37" s="1">
        <v>389001.35</v>
      </c>
      <c r="Z37" s="1">
        <v>388103.44</v>
      </c>
      <c r="AA37" s="1">
        <v>387203.66</v>
      </c>
      <c r="AB37" s="1">
        <v>386302</v>
      </c>
      <c r="AC37" s="1">
        <v>385398.47</v>
      </c>
      <c r="AD37" s="1">
        <v>384493.05</v>
      </c>
      <c r="AE37" s="1">
        <v>383585.75</v>
      </c>
      <c r="AF37" s="1">
        <v>382676.56</v>
      </c>
      <c r="AG37" s="1">
        <v>381765.47</v>
      </c>
      <c r="AH37" s="1">
        <v>380852.47999999998</v>
      </c>
      <c r="AI37" s="1">
        <v>379937.6</v>
      </c>
      <c r="AJ37" s="1">
        <v>379020.79999999999</v>
      </c>
      <c r="AK37" s="1">
        <v>378102.1</v>
      </c>
      <c r="AL37" s="1">
        <v>377181.48</v>
      </c>
      <c r="AM37" s="1">
        <v>376258.95</v>
      </c>
      <c r="AN37" s="1">
        <v>375334.49</v>
      </c>
      <c r="AO37" s="1">
        <v>374408.11</v>
      </c>
      <c r="AP37" s="1">
        <v>373479.79</v>
      </c>
      <c r="AQ37" s="1">
        <v>372549.55</v>
      </c>
      <c r="AR37" s="1">
        <v>371617.36</v>
      </c>
      <c r="AS37" s="1">
        <v>370683.23</v>
      </c>
      <c r="AT37" s="1">
        <v>369747.16</v>
      </c>
      <c r="AU37" s="1">
        <v>368809.14</v>
      </c>
      <c r="AV37" s="1">
        <v>367869.16</v>
      </c>
      <c r="AW37" s="1">
        <v>366927.22</v>
      </c>
      <c r="AX37" s="1">
        <v>365983.33</v>
      </c>
      <c r="AY37" s="1">
        <v>365037.46</v>
      </c>
      <c r="AZ37" s="1">
        <v>364089.63</v>
      </c>
      <c r="BA37" s="1">
        <v>363139.82</v>
      </c>
      <c r="BB37" s="1">
        <v>362188.03</v>
      </c>
      <c r="BC37" s="1">
        <v>361234.26</v>
      </c>
      <c r="BD37" s="1">
        <v>360278.5</v>
      </c>
      <c r="BE37" s="1">
        <v>359320.75</v>
      </c>
      <c r="BF37" s="1">
        <v>358361</v>
      </c>
      <c r="BG37" s="1">
        <v>357399.26</v>
      </c>
      <c r="BH37" s="1">
        <v>356435.51</v>
      </c>
      <c r="BI37" s="1">
        <v>355469.75</v>
      </c>
      <c r="BJ37" s="1">
        <v>354501.98</v>
      </c>
      <c r="BK37" s="1">
        <v>353532.2</v>
      </c>
      <c r="BL37" s="1">
        <v>352560.4</v>
      </c>
      <c r="BM37" s="1">
        <v>351586.57</v>
      </c>
      <c r="BN37" s="1">
        <v>350610.71</v>
      </c>
      <c r="BO37" s="1">
        <v>349632.82</v>
      </c>
      <c r="BP37" s="1">
        <v>348652.89</v>
      </c>
      <c r="BQ37" s="1">
        <v>347670.92</v>
      </c>
      <c r="BR37" s="1">
        <v>346686.9</v>
      </c>
      <c r="BS37" s="1">
        <v>345700.84</v>
      </c>
      <c r="BT37" s="1">
        <v>344712.72</v>
      </c>
      <c r="BU37" s="1">
        <v>343722.54</v>
      </c>
      <c r="BV37" s="1">
        <v>342730.3</v>
      </c>
      <c r="BW37" s="1">
        <v>341735.99</v>
      </c>
      <c r="BX37" s="1">
        <v>340739.61</v>
      </c>
      <c r="BY37" s="1">
        <v>339741.15</v>
      </c>
      <c r="BZ37" s="1">
        <v>338740.62</v>
      </c>
      <c r="CA37" s="1">
        <v>337738</v>
      </c>
      <c r="CB37" s="1">
        <v>336733.29</v>
      </c>
      <c r="CC37" s="1">
        <v>335726.49</v>
      </c>
      <c r="CD37" s="1">
        <v>334717.59000000003</v>
      </c>
      <c r="CE37" s="1">
        <v>333706.59000000003</v>
      </c>
      <c r="CF37" s="1">
        <v>332693.48</v>
      </c>
      <c r="CG37" s="1">
        <v>331678.26</v>
      </c>
    </row>
    <row r="38" spans="1:85" x14ac:dyDescent="0.2">
      <c r="A38" t="s">
        <v>42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100000</v>
      </c>
      <c r="AQ38" s="1">
        <v>100000</v>
      </c>
      <c r="AR38" s="1">
        <v>100000</v>
      </c>
      <c r="AS38" s="1">
        <v>100000</v>
      </c>
      <c r="AT38" s="1">
        <v>100000</v>
      </c>
      <c r="AU38" s="1">
        <v>100000</v>
      </c>
      <c r="AV38" s="1">
        <v>100000</v>
      </c>
      <c r="AW38" s="1">
        <v>100000</v>
      </c>
      <c r="AX38" s="1">
        <v>100000</v>
      </c>
      <c r="AY38" s="1">
        <v>100000</v>
      </c>
      <c r="AZ38" s="1">
        <v>100000</v>
      </c>
      <c r="BA38" s="1">
        <v>100000</v>
      </c>
      <c r="BB38" s="1">
        <v>100000</v>
      </c>
      <c r="BC38" s="1">
        <v>100000</v>
      </c>
      <c r="BD38" s="1">
        <v>100000</v>
      </c>
      <c r="BE38" s="1">
        <v>100000</v>
      </c>
      <c r="BF38" s="1">
        <v>100000</v>
      </c>
      <c r="BG38" s="1">
        <v>100000</v>
      </c>
      <c r="BH38" s="1">
        <v>100000</v>
      </c>
      <c r="BI38" s="1">
        <v>100000</v>
      </c>
      <c r="BJ38" s="1">
        <v>100000</v>
      </c>
      <c r="BK38" s="1">
        <v>100000</v>
      </c>
      <c r="BL38" s="1">
        <v>100000</v>
      </c>
      <c r="BM38" s="1">
        <v>100000</v>
      </c>
      <c r="BN38" s="1">
        <v>100000</v>
      </c>
      <c r="BO38" s="1">
        <v>100000</v>
      </c>
      <c r="BP38" s="1">
        <v>100000</v>
      </c>
      <c r="BQ38" s="1">
        <v>100000</v>
      </c>
      <c r="BR38" s="1">
        <v>100000</v>
      </c>
      <c r="BS38" s="1">
        <v>100000</v>
      </c>
      <c r="BT38" s="1">
        <v>100000</v>
      </c>
      <c r="BU38" s="1">
        <v>100000</v>
      </c>
      <c r="BV38" s="1">
        <v>100000</v>
      </c>
      <c r="BW38" s="1">
        <v>100000</v>
      </c>
      <c r="BX38" s="1">
        <v>100000</v>
      </c>
      <c r="BY38" s="1">
        <v>100000</v>
      </c>
      <c r="BZ38" s="1">
        <v>100000</v>
      </c>
      <c r="CA38" s="1">
        <v>100000</v>
      </c>
      <c r="CB38" s="1">
        <v>100000</v>
      </c>
      <c r="CC38" s="1">
        <v>100000</v>
      </c>
      <c r="CD38" s="1">
        <v>100000</v>
      </c>
      <c r="CE38" s="1">
        <v>100000</v>
      </c>
      <c r="CF38" s="1">
        <v>100000</v>
      </c>
      <c r="CG38" s="1">
        <v>100000</v>
      </c>
    </row>
    <row r="39" spans="1:85" x14ac:dyDescent="0.2">
      <c r="A39" t="s">
        <v>43</v>
      </c>
      <c r="B39" s="1">
        <v>710.52</v>
      </c>
      <c r="C39" s="1">
        <v>995.68</v>
      </c>
      <c r="D39" s="1">
        <v>971.72</v>
      </c>
      <c r="E39" s="1">
        <v>735.34</v>
      </c>
      <c r="F39" s="1">
        <v>929.64</v>
      </c>
      <c r="G39" s="1">
        <v>789.1</v>
      </c>
      <c r="H39" s="1">
        <v>1028.93</v>
      </c>
      <c r="I39" s="1">
        <v>946.94</v>
      </c>
      <c r="J39" s="1">
        <v>814.16</v>
      </c>
      <c r="K39" s="1">
        <v>1064.5</v>
      </c>
      <c r="L39" s="1">
        <v>825.54</v>
      </c>
      <c r="M39" s="1">
        <v>832.29</v>
      </c>
      <c r="N39" s="1">
        <v>657.8</v>
      </c>
      <c r="O39" s="1">
        <v>1028.6300000000001</v>
      </c>
      <c r="P39" s="1">
        <v>667.4</v>
      </c>
      <c r="Q39" s="1">
        <v>660.62</v>
      </c>
      <c r="R39" s="1">
        <v>1025.43</v>
      </c>
      <c r="S39" s="1">
        <v>950.5</v>
      </c>
      <c r="T39" s="1">
        <v>983.51</v>
      </c>
      <c r="U39" s="1">
        <v>905.79</v>
      </c>
      <c r="V39" s="1">
        <v>887.64</v>
      </c>
      <c r="W39" s="1">
        <v>926.08</v>
      </c>
      <c r="X39" s="1">
        <v>787.72</v>
      </c>
      <c r="Y39" s="1">
        <v>729.63</v>
      </c>
      <c r="Z39" s="1">
        <v>970.54</v>
      </c>
      <c r="AA39" s="1">
        <v>934.1</v>
      </c>
      <c r="AB39" s="1">
        <v>1086.03</v>
      </c>
      <c r="AC39" s="1">
        <v>901.06</v>
      </c>
      <c r="AD39" s="1">
        <v>1054.18</v>
      </c>
      <c r="AE39" s="1">
        <v>671.58</v>
      </c>
      <c r="AF39" s="1">
        <v>749.69</v>
      </c>
      <c r="AG39" s="1">
        <v>910.61</v>
      </c>
      <c r="AH39" s="1">
        <v>952.27</v>
      </c>
      <c r="AI39" s="1">
        <v>670.96</v>
      </c>
      <c r="AJ39" s="1">
        <v>855.36</v>
      </c>
      <c r="AK39" s="1">
        <v>891.18</v>
      </c>
      <c r="AL39" s="1">
        <v>1007.32</v>
      </c>
      <c r="AM39" s="1">
        <v>904.53</v>
      </c>
      <c r="AN39" s="1">
        <v>897.6</v>
      </c>
      <c r="AO39" s="1">
        <v>919.84</v>
      </c>
      <c r="AP39" s="1">
        <v>1055.69</v>
      </c>
      <c r="AQ39" s="1">
        <v>1072.4000000000001</v>
      </c>
      <c r="AR39" s="1">
        <v>737.25</v>
      </c>
      <c r="AS39" s="1">
        <v>744.33</v>
      </c>
      <c r="AT39" s="1">
        <v>789.61</v>
      </c>
      <c r="AU39" s="1">
        <v>811.35</v>
      </c>
      <c r="AV39" s="1">
        <v>959.42</v>
      </c>
      <c r="AW39" s="1">
        <v>1026.17</v>
      </c>
      <c r="AX39" s="1">
        <v>714.73</v>
      </c>
      <c r="AY39" s="1">
        <v>764.67</v>
      </c>
      <c r="AZ39" s="1">
        <v>938.67</v>
      </c>
      <c r="BA39" s="1">
        <v>789.62</v>
      </c>
      <c r="BB39" s="1">
        <v>629.83000000000004</v>
      </c>
      <c r="BC39" s="1">
        <v>918.34</v>
      </c>
      <c r="BD39" s="1">
        <v>767.72</v>
      </c>
      <c r="BE39" s="1">
        <v>753.88</v>
      </c>
      <c r="BF39" s="1">
        <v>755.18</v>
      </c>
      <c r="BG39" s="1">
        <v>965.21</v>
      </c>
      <c r="BH39" s="1">
        <v>901.31</v>
      </c>
      <c r="BI39" s="1">
        <v>733.82</v>
      </c>
      <c r="BJ39" s="1">
        <v>773.09</v>
      </c>
      <c r="BK39" s="1">
        <v>981.43</v>
      </c>
      <c r="BL39" s="1">
        <v>835.03</v>
      </c>
      <c r="BM39" s="1">
        <v>795.17</v>
      </c>
      <c r="BN39" s="1">
        <v>989.86</v>
      </c>
      <c r="BO39" s="1">
        <v>1100.9000000000001</v>
      </c>
      <c r="BP39" s="1">
        <v>680.67</v>
      </c>
      <c r="BQ39" s="1">
        <v>872.5</v>
      </c>
      <c r="BR39" s="1">
        <v>804.32</v>
      </c>
      <c r="BS39" s="1">
        <v>687.06</v>
      </c>
      <c r="BT39" s="1">
        <v>792.88</v>
      </c>
      <c r="BU39" s="1">
        <v>985.27</v>
      </c>
      <c r="BV39" s="1">
        <v>938.33</v>
      </c>
      <c r="BW39" s="1">
        <v>721.48</v>
      </c>
      <c r="BX39" s="1">
        <v>970.5</v>
      </c>
      <c r="BY39" s="1">
        <v>960.99</v>
      </c>
      <c r="BZ39" s="1">
        <v>939.3</v>
      </c>
      <c r="CA39" s="1">
        <v>960.86</v>
      </c>
      <c r="CB39" s="1">
        <v>966.12</v>
      </c>
      <c r="CC39" s="1">
        <v>1103.94</v>
      </c>
      <c r="CD39" s="1">
        <v>872.41</v>
      </c>
      <c r="CE39" s="1">
        <v>927.16</v>
      </c>
      <c r="CF39" s="1">
        <v>846.98</v>
      </c>
      <c r="CG39" s="1">
        <v>1106.97</v>
      </c>
    </row>
    <row r="40" spans="1:85" s="5" customFormat="1" x14ac:dyDescent="0.2">
      <c r="A40" s="5" t="s">
        <v>44</v>
      </c>
      <c r="B40" s="6">
        <f>SUM(B37:B39)</f>
        <v>409856.36000000004</v>
      </c>
      <c r="C40" s="6">
        <f t="shared" ref="C40:BN40" si="12">SUM(C37:C39)</f>
        <v>409285.57</v>
      </c>
      <c r="D40" s="6">
        <f t="shared" si="12"/>
        <v>408403.88999999996</v>
      </c>
      <c r="E40" s="6">
        <f t="shared" si="12"/>
        <v>407307.99000000005</v>
      </c>
      <c r="F40" s="6">
        <f t="shared" si="12"/>
        <v>406640.99</v>
      </c>
      <c r="G40" s="6">
        <f t="shared" si="12"/>
        <v>405637.35</v>
      </c>
      <c r="H40" s="6">
        <f t="shared" si="12"/>
        <v>405012.29</v>
      </c>
      <c r="I40" s="6">
        <f t="shared" si="12"/>
        <v>404063.6</v>
      </c>
      <c r="J40" s="6">
        <f t="shared" si="12"/>
        <v>403062.31999999995</v>
      </c>
      <c r="K40" s="6">
        <f t="shared" si="12"/>
        <v>402442.34</v>
      </c>
      <c r="L40" s="6">
        <f t="shared" si="12"/>
        <v>401331.25999999995</v>
      </c>
      <c r="M40" s="6">
        <f t="shared" si="12"/>
        <v>400464.06</v>
      </c>
      <c r="N40" s="6">
        <f t="shared" si="12"/>
        <v>399413.81</v>
      </c>
      <c r="O40" s="6">
        <f t="shared" si="12"/>
        <v>398907.05</v>
      </c>
      <c r="P40" s="6">
        <f t="shared" si="12"/>
        <v>397666.4</v>
      </c>
      <c r="Q40" s="6">
        <f t="shared" si="12"/>
        <v>396778.38</v>
      </c>
      <c r="R40" s="6">
        <f t="shared" si="12"/>
        <v>396260.1</v>
      </c>
      <c r="S40" s="6">
        <f t="shared" si="12"/>
        <v>395300.25</v>
      </c>
      <c r="T40" s="6">
        <f t="shared" si="12"/>
        <v>394446.49</v>
      </c>
      <c r="U40" s="6">
        <f t="shared" si="12"/>
        <v>393480.14999999997</v>
      </c>
      <c r="V40" s="6">
        <f t="shared" si="12"/>
        <v>392571.54000000004</v>
      </c>
      <c r="W40" s="6">
        <f t="shared" si="12"/>
        <v>391717.65</v>
      </c>
      <c r="X40" s="6">
        <f t="shared" si="12"/>
        <v>390685.11</v>
      </c>
      <c r="Y40" s="6">
        <f t="shared" si="12"/>
        <v>389730.98</v>
      </c>
      <c r="Z40" s="6">
        <f t="shared" si="12"/>
        <v>389073.98</v>
      </c>
      <c r="AA40" s="6">
        <f t="shared" si="12"/>
        <v>388137.75999999995</v>
      </c>
      <c r="AB40" s="6">
        <f t="shared" si="12"/>
        <v>387388.03</v>
      </c>
      <c r="AC40" s="6">
        <f t="shared" si="12"/>
        <v>386299.52999999997</v>
      </c>
      <c r="AD40" s="6">
        <f t="shared" si="12"/>
        <v>385547.23</v>
      </c>
      <c r="AE40" s="6">
        <f t="shared" si="12"/>
        <v>384257.33</v>
      </c>
      <c r="AF40" s="6">
        <f t="shared" si="12"/>
        <v>383426.25</v>
      </c>
      <c r="AG40" s="6">
        <f t="shared" si="12"/>
        <v>382676.07999999996</v>
      </c>
      <c r="AH40" s="6">
        <f t="shared" si="12"/>
        <v>381804.75</v>
      </c>
      <c r="AI40" s="6">
        <f t="shared" si="12"/>
        <v>380608.56</v>
      </c>
      <c r="AJ40" s="6">
        <f t="shared" si="12"/>
        <v>379876.16</v>
      </c>
      <c r="AK40" s="6">
        <f t="shared" si="12"/>
        <v>378993.27999999997</v>
      </c>
      <c r="AL40" s="6">
        <f t="shared" si="12"/>
        <v>378188.79999999999</v>
      </c>
      <c r="AM40" s="6">
        <f t="shared" si="12"/>
        <v>377163.48000000004</v>
      </c>
      <c r="AN40" s="6">
        <f t="shared" si="12"/>
        <v>376232.08999999997</v>
      </c>
      <c r="AO40" s="6">
        <f t="shared" si="12"/>
        <v>375327.95</v>
      </c>
      <c r="AP40" s="6">
        <f t="shared" si="12"/>
        <v>474535.48</v>
      </c>
      <c r="AQ40" s="6">
        <f t="shared" si="12"/>
        <v>473621.95</v>
      </c>
      <c r="AR40" s="6">
        <f t="shared" si="12"/>
        <v>472354.61</v>
      </c>
      <c r="AS40" s="6">
        <f t="shared" si="12"/>
        <v>471427.56</v>
      </c>
      <c r="AT40" s="6">
        <f t="shared" si="12"/>
        <v>470536.76999999996</v>
      </c>
      <c r="AU40" s="6">
        <f t="shared" si="12"/>
        <v>469620.49</v>
      </c>
      <c r="AV40" s="6">
        <f t="shared" si="12"/>
        <v>468828.57999999996</v>
      </c>
      <c r="AW40" s="6">
        <f t="shared" si="12"/>
        <v>467953.38999999996</v>
      </c>
      <c r="AX40" s="6">
        <f t="shared" si="12"/>
        <v>466698.06</v>
      </c>
      <c r="AY40" s="6">
        <f t="shared" si="12"/>
        <v>465802.13</v>
      </c>
      <c r="AZ40" s="6">
        <f t="shared" si="12"/>
        <v>465028.3</v>
      </c>
      <c r="BA40" s="6">
        <f t="shared" si="12"/>
        <v>463929.44</v>
      </c>
      <c r="BB40" s="6">
        <f t="shared" si="12"/>
        <v>462817.86000000004</v>
      </c>
      <c r="BC40" s="6">
        <f t="shared" si="12"/>
        <v>462152.60000000003</v>
      </c>
      <c r="BD40" s="6">
        <f t="shared" si="12"/>
        <v>461046.22</v>
      </c>
      <c r="BE40" s="6">
        <f t="shared" si="12"/>
        <v>460074.63</v>
      </c>
      <c r="BF40" s="6">
        <f t="shared" si="12"/>
        <v>459116.18</v>
      </c>
      <c r="BG40" s="6">
        <f t="shared" si="12"/>
        <v>458364.47000000003</v>
      </c>
      <c r="BH40" s="6">
        <f t="shared" si="12"/>
        <v>457336.82</v>
      </c>
      <c r="BI40" s="6">
        <f t="shared" si="12"/>
        <v>456203.57</v>
      </c>
      <c r="BJ40" s="6">
        <f t="shared" si="12"/>
        <v>455275.07</v>
      </c>
      <c r="BK40" s="6">
        <f t="shared" si="12"/>
        <v>454513.63</v>
      </c>
      <c r="BL40" s="6">
        <f t="shared" si="12"/>
        <v>453395.43000000005</v>
      </c>
      <c r="BM40" s="6">
        <f t="shared" si="12"/>
        <v>452381.74</v>
      </c>
      <c r="BN40" s="6">
        <f t="shared" si="12"/>
        <v>451600.57</v>
      </c>
      <c r="BO40" s="6">
        <f t="shared" ref="BO40:CG40" si="13">SUM(BO37:BO39)</f>
        <v>450733.72000000003</v>
      </c>
      <c r="BP40" s="6">
        <f t="shared" si="13"/>
        <v>449333.56</v>
      </c>
      <c r="BQ40" s="6">
        <f t="shared" si="13"/>
        <v>448543.42</v>
      </c>
      <c r="BR40" s="6">
        <f t="shared" si="13"/>
        <v>447491.22000000003</v>
      </c>
      <c r="BS40" s="6">
        <f t="shared" si="13"/>
        <v>446387.9</v>
      </c>
      <c r="BT40" s="6">
        <f t="shared" si="13"/>
        <v>445505.6</v>
      </c>
      <c r="BU40" s="6">
        <f t="shared" si="13"/>
        <v>444707.81</v>
      </c>
      <c r="BV40" s="6">
        <f t="shared" si="13"/>
        <v>443668.63</v>
      </c>
      <c r="BW40" s="6">
        <f t="shared" si="13"/>
        <v>442457.47</v>
      </c>
      <c r="BX40" s="6">
        <f t="shared" si="13"/>
        <v>441710.11</v>
      </c>
      <c r="BY40" s="6">
        <f t="shared" si="13"/>
        <v>440702.14</v>
      </c>
      <c r="BZ40" s="6">
        <f t="shared" si="13"/>
        <v>439679.92</v>
      </c>
      <c r="CA40" s="6">
        <f t="shared" si="13"/>
        <v>438698.86</v>
      </c>
      <c r="CB40" s="6">
        <f t="shared" si="13"/>
        <v>437699.41</v>
      </c>
      <c r="CC40" s="6">
        <f t="shared" si="13"/>
        <v>436830.43</v>
      </c>
      <c r="CD40" s="6">
        <f t="shared" si="13"/>
        <v>435590</v>
      </c>
      <c r="CE40" s="6">
        <f t="shared" si="13"/>
        <v>434633.75</v>
      </c>
      <c r="CF40" s="6">
        <f t="shared" si="13"/>
        <v>433540.45999999996</v>
      </c>
      <c r="CG40" s="6">
        <f t="shared" si="13"/>
        <v>432785.23</v>
      </c>
    </row>
    <row r="41" spans="1:85" s="23" customFormat="1" ht="17" thickBot="1" x14ac:dyDescent="0.25"/>
    <row r="42" spans="1:85" s="21" customFormat="1" ht="17" thickTop="1" x14ac:dyDescent="0.2">
      <c r="A42" s="21" t="s">
        <v>45</v>
      </c>
      <c r="B42" s="22">
        <f>B34-B40</f>
        <v>75654.949999999953</v>
      </c>
      <c r="C42" s="22">
        <f t="shared" ref="C42:BN42" si="14">C34-C40</f>
        <v>79651.38</v>
      </c>
      <c r="D42" s="22">
        <f t="shared" si="14"/>
        <v>81844.370000000054</v>
      </c>
      <c r="E42" s="22">
        <f t="shared" si="14"/>
        <v>84700.989999999991</v>
      </c>
      <c r="F42" s="22">
        <f t="shared" si="14"/>
        <v>88245.109999999986</v>
      </c>
      <c r="G42" s="22">
        <f t="shared" si="14"/>
        <v>88227.549999999988</v>
      </c>
      <c r="H42" s="22">
        <f t="shared" si="14"/>
        <v>88030.669999999984</v>
      </c>
      <c r="I42" s="22">
        <f t="shared" si="14"/>
        <v>92080.570000000065</v>
      </c>
      <c r="J42" s="22">
        <f t="shared" si="14"/>
        <v>95947.729999999981</v>
      </c>
      <c r="K42" s="22">
        <f t="shared" si="14"/>
        <v>100000.62</v>
      </c>
      <c r="L42" s="22">
        <f t="shared" si="14"/>
        <v>101019.15000000008</v>
      </c>
      <c r="M42" s="22">
        <f t="shared" si="14"/>
        <v>105000.52999999997</v>
      </c>
      <c r="N42" s="22">
        <f t="shared" si="14"/>
        <v>108017.57</v>
      </c>
      <c r="O42" s="22">
        <f t="shared" si="14"/>
        <v>108775.02000000002</v>
      </c>
      <c r="P42" s="22">
        <f t="shared" si="14"/>
        <v>115050.63999999996</v>
      </c>
      <c r="Q42" s="22">
        <f t="shared" si="14"/>
        <v>118949.32</v>
      </c>
      <c r="R42" s="22">
        <f t="shared" si="14"/>
        <v>122618.6100000001</v>
      </c>
      <c r="S42" s="22">
        <f t="shared" si="14"/>
        <v>124793.94</v>
      </c>
      <c r="T42" s="22">
        <f t="shared" si="14"/>
        <v>130428.46999999997</v>
      </c>
      <c r="U42" s="22">
        <f t="shared" si="14"/>
        <v>133779.32</v>
      </c>
      <c r="V42" s="22">
        <f t="shared" si="14"/>
        <v>136097.15999999992</v>
      </c>
      <c r="W42" s="22">
        <f t="shared" si="14"/>
        <v>140642.79999999993</v>
      </c>
      <c r="X42" s="22">
        <f t="shared" si="14"/>
        <v>142731.9800000001</v>
      </c>
      <c r="Y42" s="22">
        <f t="shared" si="14"/>
        <v>148523.55000000005</v>
      </c>
      <c r="Z42" s="22">
        <f t="shared" si="14"/>
        <v>149159.34999999998</v>
      </c>
      <c r="AA42" s="22">
        <f t="shared" si="14"/>
        <v>152977.13000000006</v>
      </c>
      <c r="AB42" s="22">
        <f t="shared" si="14"/>
        <v>156465.01</v>
      </c>
      <c r="AC42" s="22">
        <f t="shared" si="14"/>
        <v>161159.41000000009</v>
      </c>
      <c r="AD42" s="22">
        <f t="shared" si="14"/>
        <v>161326.71000000008</v>
      </c>
      <c r="AE42" s="22">
        <f t="shared" si="14"/>
        <v>159904.63999999996</v>
      </c>
      <c r="AF42" s="22">
        <f t="shared" si="14"/>
        <v>165006.39000000001</v>
      </c>
      <c r="AG42" s="22">
        <f t="shared" si="14"/>
        <v>165037.75000000012</v>
      </c>
      <c r="AH42" s="22">
        <f t="shared" si="14"/>
        <v>166895.95999999996</v>
      </c>
      <c r="AI42" s="22">
        <f t="shared" si="14"/>
        <v>165709.51000000007</v>
      </c>
      <c r="AJ42" s="22">
        <f t="shared" si="14"/>
        <v>172317.25000000006</v>
      </c>
      <c r="AK42" s="22">
        <f t="shared" si="14"/>
        <v>175293.68</v>
      </c>
      <c r="AL42" s="22">
        <f t="shared" si="14"/>
        <v>175244.82</v>
      </c>
      <c r="AM42" s="22">
        <f t="shared" si="14"/>
        <v>178338.73999999993</v>
      </c>
      <c r="AN42" s="22">
        <f t="shared" si="14"/>
        <v>183373.53000000003</v>
      </c>
      <c r="AO42" s="22">
        <f t="shared" si="14"/>
        <v>183977.03999999998</v>
      </c>
      <c r="AP42" s="22">
        <f t="shared" si="14"/>
        <v>191725.09999999998</v>
      </c>
      <c r="AQ42" s="22">
        <f t="shared" si="14"/>
        <v>191728.63999999996</v>
      </c>
      <c r="AR42" s="22">
        <f t="shared" si="14"/>
        <v>195401.61</v>
      </c>
      <c r="AS42" s="22">
        <f t="shared" si="14"/>
        <v>199586.55</v>
      </c>
      <c r="AT42" s="22">
        <f t="shared" si="14"/>
        <v>201319.31</v>
      </c>
      <c r="AU42" s="22">
        <f t="shared" si="14"/>
        <v>210639.07000000007</v>
      </c>
      <c r="AV42" s="22">
        <f t="shared" si="14"/>
        <v>217152.70000000007</v>
      </c>
      <c r="AW42" s="22">
        <f t="shared" si="14"/>
        <v>215034.77000000008</v>
      </c>
      <c r="AX42" s="22">
        <f t="shared" si="14"/>
        <v>218077.22999999992</v>
      </c>
      <c r="AY42" s="22">
        <f t="shared" si="14"/>
        <v>215214.90999999992</v>
      </c>
      <c r="AZ42" s="22">
        <f t="shared" si="14"/>
        <v>227102.98000000004</v>
      </c>
      <c r="BA42" s="22">
        <f t="shared" si="14"/>
        <v>239390.96000000002</v>
      </c>
      <c r="BB42" s="22">
        <f t="shared" si="14"/>
        <v>244216.39999999997</v>
      </c>
      <c r="BC42" s="22">
        <f t="shared" si="14"/>
        <v>257154.05999999988</v>
      </c>
      <c r="BD42" s="22">
        <f t="shared" si="14"/>
        <v>268314.31000000006</v>
      </c>
      <c r="BE42" s="22">
        <f t="shared" si="14"/>
        <v>263740.30000000005</v>
      </c>
      <c r="BF42" s="22">
        <f t="shared" si="14"/>
        <v>272521.63000000006</v>
      </c>
      <c r="BG42" s="22">
        <f t="shared" si="14"/>
        <v>280830.49999999994</v>
      </c>
      <c r="BH42" s="22">
        <f t="shared" si="14"/>
        <v>284383.57</v>
      </c>
      <c r="BI42" s="22">
        <f t="shared" si="14"/>
        <v>287710.92</v>
      </c>
      <c r="BJ42" s="22">
        <f t="shared" si="14"/>
        <v>291640.77000000008</v>
      </c>
      <c r="BK42" s="22">
        <f t="shared" si="14"/>
        <v>292583.87</v>
      </c>
      <c r="BL42" s="22">
        <f t="shared" si="14"/>
        <v>312044.97999999986</v>
      </c>
      <c r="BM42" s="22">
        <f t="shared" si="14"/>
        <v>312046.49</v>
      </c>
      <c r="BN42" s="22">
        <f t="shared" si="14"/>
        <v>326364.84999999992</v>
      </c>
      <c r="BO42" s="22">
        <f t="shared" ref="BO42:CG42" si="15">BO34-BO40</f>
        <v>322946.27999999985</v>
      </c>
      <c r="BP42" s="22">
        <f t="shared" si="15"/>
        <v>308189.68</v>
      </c>
      <c r="BQ42" s="22">
        <f t="shared" si="15"/>
        <v>305086.41000000009</v>
      </c>
      <c r="BR42" s="22">
        <f t="shared" si="15"/>
        <v>320482.77999999985</v>
      </c>
      <c r="BS42" s="22">
        <f t="shared" si="15"/>
        <v>330731.26</v>
      </c>
      <c r="BT42" s="22">
        <f t="shared" si="15"/>
        <v>345313.14</v>
      </c>
      <c r="BU42" s="22">
        <f t="shared" si="15"/>
        <v>351698.2</v>
      </c>
      <c r="BV42" s="22">
        <f t="shared" si="15"/>
        <v>365419.48</v>
      </c>
      <c r="BW42" s="22">
        <f t="shared" si="15"/>
        <v>383222.21000000008</v>
      </c>
      <c r="BX42" s="22">
        <f t="shared" si="15"/>
        <v>384060.27000000014</v>
      </c>
      <c r="BY42" s="22">
        <f t="shared" si="15"/>
        <v>383128.15999999992</v>
      </c>
      <c r="BZ42" s="22">
        <f t="shared" si="15"/>
        <v>390255.31</v>
      </c>
      <c r="CA42" s="22">
        <f t="shared" si="15"/>
        <v>407027.55999999994</v>
      </c>
      <c r="CB42" s="22">
        <f t="shared" si="15"/>
        <v>388311.40000000008</v>
      </c>
      <c r="CC42" s="22">
        <f t="shared" si="15"/>
        <v>417816.50999999995</v>
      </c>
      <c r="CD42" s="22">
        <f t="shared" si="15"/>
        <v>441090.30999999994</v>
      </c>
      <c r="CE42" s="22">
        <f t="shared" si="15"/>
        <v>445548.52</v>
      </c>
      <c r="CF42" s="22">
        <f t="shared" si="15"/>
        <v>442527.81000000006</v>
      </c>
      <c r="CG42" s="22">
        <f t="shared" si="15"/>
        <v>450239.15000000014</v>
      </c>
    </row>
  </sheetData>
  <pageMargins left="0.7" right="0.7" top="0.75" bottom="0.75" header="0.3" footer="0.3"/>
  <ignoredErrors>
    <ignoredError sqref="A1:CG7 A9:CG13 A8 A15:CG21 A14 A23:CG26 A22 A28:CG31 A27 A33:CG33 A32 A35:CG39 A34 A41:CG41 A40 A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Data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Heinze</cp:lastModifiedBy>
  <dcterms:modified xsi:type="dcterms:W3CDTF">2026-08-23T14:40:27Z</dcterms:modified>
</cp:coreProperties>
</file>